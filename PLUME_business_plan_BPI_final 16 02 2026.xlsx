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plumeparagliders.sharepoint.com/sites/PlumeFichierssensibles/Documents partages/06_ADMINISTRATIF/BPI &amp; banque dossier/Elements pour BPI/"/>
    </mc:Choice>
  </mc:AlternateContent>
  <xr:revisionPtr revIDLastSave="0" documentId="8_{83CE109E-D257-4ED5-BE0C-3C5A49A0D265}" xr6:coauthVersionLast="47" xr6:coauthVersionMax="47" xr10:uidLastSave="{00000000-0000-0000-0000-000000000000}"/>
  <bookViews>
    <workbookView xWindow="-110" yWindow="-110" windowWidth="24220" windowHeight="15500" tabRatio="500" firstSheet="11" activeTab="14" xr2:uid="{00000000-000D-0000-FFFF-FFFF00000000}"/>
  </bookViews>
  <sheets>
    <sheet name="Dashboard" sheetId="1" r:id="rId1"/>
    <sheet name="Frais de lancement" sheetId="2" r:id="rId2"/>
    <sheet name="Charges Fixes Plume" sheetId="3" r:id="rId3"/>
    <sheet name="Charges Variables" sheetId="5" r:id="rId4"/>
    <sheet name="Emprunt Bancaire" sheetId="4" r:id="rId5"/>
    <sheet name="Emprunt Mensualité" sheetId="15" r:id="rId6"/>
    <sheet name="AFFECTATION EMPRUNT " sheetId="18" r:id="rId7"/>
    <sheet name="Marges Produits" sheetId="6" r:id="rId8"/>
    <sheet name="Financement" sheetId="7" r:id="rId9"/>
    <sheet name="Scénarios" sheetId="8" r:id="rId10"/>
    <sheet name="Plan Trésorerie Mensuel" sheetId="9" r:id="rId11"/>
    <sheet name="Compte de Résultat" sheetId="10" r:id="rId12"/>
    <sheet name="DSCR &amp; ratio bancaires" sheetId="19" r:id="rId13"/>
    <sheet name="Bilan Prévisionnel" sheetId="11" r:id="rId14"/>
    <sheet name="Seuil Rentabilité" sheetId="12" r:id="rId15"/>
    <sheet name="-30% Plan Trésorerie Mensuel " sheetId="17" r:id="rId16"/>
    <sheet name="point mort mensuel" sheetId="16" r:id="rId17"/>
    <sheet name="Analyse Point Mort" sheetId="13" r:id="rId18"/>
    <sheet name="Conditions &amp; risques " sheetId="20" r:id="rId19"/>
  </sheets>
  <externalReferences>
    <externalReference r:id="rId20"/>
  </externalReferenc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2" l="1"/>
  <c r="G15" i="12"/>
  <c r="H15" i="12"/>
  <c r="E15" i="12"/>
  <c r="D15" i="12"/>
  <c r="B15" i="12"/>
  <c r="C15" i="12"/>
  <c r="B37" i="4"/>
  <c r="D37" i="4"/>
  <c r="C37" i="4"/>
  <c r="C11" i="4"/>
  <c r="B11" i="4"/>
  <c r="J27" i="15"/>
  <c r="B17" i="4"/>
  <c r="B16" i="4"/>
  <c r="B15" i="4"/>
  <c r="E51" i="6"/>
  <c r="G51" i="6"/>
  <c r="G49" i="6"/>
  <c r="L30" i="1" s="1"/>
  <c r="C8" i="19"/>
  <c r="D8" i="19"/>
  <c r="E8" i="19"/>
  <c r="F8" i="19"/>
  <c r="G8" i="19"/>
  <c r="G10" i="19" s="1"/>
  <c r="H8" i="19"/>
  <c r="B8" i="19"/>
  <c r="B10" i="19" s="1"/>
  <c r="AY43" i="9"/>
  <c r="AZ43" i="9"/>
  <c r="BA43" i="9"/>
  <c r="BB43" i="9"/>
  <c r="BC43" i="9"/>
  <c r="BD43" i="9"/>
  <c r="BE43" i="9"/>
  <c r="BF43" i="9"/>
  <c r="BG43" i="9"/>
  <c r="BH43" i="9"/>
  <c r="BI43" i="9"/>
  <c r="AX43" i="9"/>
  <c r="D51" i="6"/>
  <c r="C5" i="10" s="1"/>
  <c r="C51" i="6"/>
  <c r="H19" i="10"/>
  <c r="G19" i="10"/>
  <c r="F19" i="10"/>
  <c r="E19" i="10"/>
  <c r="D19" i="10"/>
  <c r="C19" i="10"/>
  <c r="G16" i="10"/>
  <c r="B5" i="10"/>
  <c r="H12" i="10"/>
  <c r="G12" i="10"/>
  <c r="F12" i="10"/>
  <c r="E12" i="10"/>
  <c r="D12" i="10"/>
  <c r="C12" i="10"/>
  <c r="B13" i="10"/>
  <c r="G13" i="10"/>
  <c r="F13" i="10"/>
  <c r="E13" i="10"/>
  <c r="D13" i="10"/>
  <c r="C13" i="10"/>
  <c r="B31" i="19"/>
  <c r="H31" i="19"/>
  <c r="E23" i="19"/>
  <c r="F23" i="19"/>
  <c r="G23" i="19"/>
  <c r="H23" i="19"/>
  <c r="C23" i="19"/>
  <c r="D23" i="19"/>
  <c r="B12" i="19"/>
  <c r="H12" i="19"/>
  <c r="E11" i="19"/>
  <c r="E31" i="19" s="1"/>
  <c r="H29" i="19"/>
  <c r="H30" i="19" s="1"/>
  <c r="G29" i="19"/>
  <c r="G30" i="19" s="1"/>
  <c r="F29" i="19"/>
  <c r="F30" i="19" s="1"/>
  <c r="E29" i="19"/>
  <c r="E30" i="19" s="1"/>
  <c r="D29" i="19"/>
  <c r="D30" i="19" s="1"/>
  <c r="C29" i="19"/>
  <c r="C30" i="19" s="1"/>
  <c r="B29" i="19"/>
  <c r="B30" i="19" s="1"/>
  <c r="H22" i="19"/>
  <c r="G22" i="19"/>
  <c r="F22" i="19"/>
  <c r="E22" i="19"/>
  <c r="D22" i="19"/>
  <c r="C22" i="19"/>
  <c r="B22" i="19"/>
  <c r="H21" i="19"/>
  <c r="G21" i="19"/>
  <c r="F21" i="19"/>
  <c r="E21" i="19"/>
  <c r="D21" i="19"/>
  <c r="C21" i="19"/>
  <c r="B21" i="19"/>
  <c r="H20" i="19"/>
  <c r="G20" i="19"/>
  <c r="F20" i="19"/>
  <c r="E20" i="19"/>
  <c r="D20" i="19"/>
  <c r="C20" i="19"/>
  <c r="B20" i="19"/>
  <c r="H19" i="19"/>
  <c r="G19" i="19"/>
  <c r="F19" i="19"/>
  <c r="E19" i="19"/>
  <c r="D19" i="19"/>
  <c r="C19" i="19"/>
  <c r="B19" i="19"/>
  <c r="G11" i="19"/>
  <c r="G31" i="19" s="1"/>
  <c r="F11" i="19"/>
  <c r="F31" i="19" s="1"/>
  <c r="D11" i="19"/>
  <c r="D31" i="19" s="1"/>
  <c r="C11" i="19"/>
  <c r="C12" i="19" s="1"/>
  <c r="H10" i="19"/>
  <c r="F10" i="19"/>
  <c r="F12" i="19" s="1"/>
  <c r="E10" i="19"/>
  <c r="E12" i="19" s="1"/>
  <c r="D10" i="19"/>
  <c r="C10" i="19"/>
  <c r="B9" i="18"/>
  <c r="C8" i="18"/>
  <c r="C7" i="18"/>
  <c r="C6" i="18"/>
  <c r="C5" i="18"/>
  <c r="C9" i="18" s="1"/>
  <c r="C34" i="17"/>
  <c r="D34" i="17"/>
  <c r="E34" i="17"/>
  <c r="F34" i="17"/>
  <c r="G34" i="17"/>
  <c r="H34" i="17"/>
  <c r="O34" i="17" s="1"/>
  <c r="I34" i="17"/>
  <c r="I24" i="17" s="1"/>
  <c r="J34" i="17"/>
  <c r="K34" i="17"/>
  <c r="L34" i="17"/>
  <c r="M34" i="17"/>
  <c r="N34" i="17"/>
  <c r="B34" i="17"/>
  <c r="C35" i="17"/>
  <c r="D35" i="17"/>
  <c r="E35" i="17"/>
  <c r="F35" i="17"/>
  <c r="G35" i="17"/>
  <c r="H35" i="17"/>
  <c r="O35" i="17" s="1"/>
  <c r="K50" i="17" s="1"/>
  <c r="I35" i="17"/>
  <c r="I12" i="17" s="1"/>
  <c r="I13" i="17" s="1"/>
  <c r="J35" i="17"/>
  <c r="K35" i="17"/>
  <c r="L35" i="17"/>
  <c r="M35" i="17"/>
  <c r="N35" i="17"/>
  <c r="B35" i="17"/>
  <c r="C64" i="17"/>
  <c r="D64" i="17"/>
  <c r="E64" i="17"/>
  <c r="F64" i="17"/>
  <c r="G64" i="17"/>
  <c r="H64" i="17"/>
  <c r="I64" i="17"/>
  <c r="I54" i="17" s="1"/>
  <c r="J64" i="17"/>
  <c r="K64" i="17"/>
  <c r="L64" i="17"/>
  <c r="M64" i="17"/>
  <c r="N64" i="17"/>
  <c r="O64" i="17"/>
  <c r="P64" i="17"/>
  <c r="Q64" i="17"/>
  <c r="R64" i="17"/>
  <c r="S64" i="17"/>
  <c r="T64" i="17"/>
  <c r="U64" i="17"/>
  <c r="V64" i="17"/>
  <c r="W64" i="17"/>
  <c r="X64" i="17"/>
  <c r="Y64" i="17"/>
  <c r="Y54" i="17" s="1"/>
  <c r="Z64" i="17"/>
  <c r="AA64" i="17"/>
  <c r="AB64" i="17"/>
  <c r="AC64" i="17"/>
  <c r="AD64" i="17"/>
  <c r="AE64" i="17"/>
  <c r="AF64" i="17"/>
  <c r="AG64" i="17"/>
  <c r="AH64" i="17"/>
  <c r="AI64" i="17"/>
  <c r="AJ64" i="17"/>
  <c r="AK64" i="17"/>
  <c r="AL64" i="17"/>
  <c r="AM64" i="17"/>
  <c r="AN64" i="17"/>
  <c r="AO64" i="17"/>
  <c r="AO54" i="17" s="1"/>
  <c r="AP64" i="17"/>
  <c r="AQ64" i="17"/>
  <c r="AR64" i="17"/>
  <c r="AS64" i="17"/>
  <c r="AT64" i="17"/>
  <c r="AU64" i="17"/>
  <c r="AU54" i="17" s="1"/>
  <c r="AV64" i="17"/>
  <c r="AW64" i="17"/>
  <c r="AX64" i="17"/>
  <c r="BI67" i="17" s="1"/>
  <c r="AY64" i="17"/>
  <c r="AZ64" i="17"/>
  <c r="BA64" i="17"/>
  <c r="BB64" i="17"/>
  <c r="BC64" i="17"/>
  <c r="BC54" i="17" s="1"/>
  <c r="BD64" i="17"/>
  <c r="BE64" i="17"/>
  <c r="BE54" i="17" s="1"/>
  <c r="BF64" i="17"/>
  <c r="BG64" i="17"/>
  <c r="BH64" i="17"/>
  <c r="BI64" i="17"/>
  <c r="B64" i="17"/>
  <c r="C65" i="17"/>
  <c r="D65" i="17"/>
  <c r="E65" i="17"/>
  <c r="F65" i="17"/>
  <c r="G65" i="17"/>
  <c r="M68" i="17" s="1"/>
  <c r="H65" i="17"/>
  <c r="I65" i="17"/>
  <c r="I43" i="17" s="1"/>
  <c r="I56" i="17" s="1"/>
  <c r="J65" i="17"/>
  <c r="J43" i="17" s="1"/>
  <c r="J56" i="17" s="1"/>
  <c r="K65" i="17"/>
  <c r="L65" i="17"/>
  <c r="M65" i="17"/>
  <c r="N65" i="17"/>
  <c r="O65" i="17"/>
  <c r="Y68" i="17" s="1"/>
  <c r="P65" i="17"/>
  <c r="Q65" i="17"/>
  <c r="Q43" i="17" s="1"/>
  <c r="Q56" i="17" s="1"/>
  <c r="R65" i="17"/>
  <c r="R43" i="17" s="1"/>
  <c r="R56" i="17" s="1"/>
  <c r="S65" i="17"/>
  <c r="T65" i="17"/>
  <c r="U65" i="17"/>
  <c r="V65" i="17"/>
  <c r="W65" i="17"/>
  <c r="W43" i="17" s="1"/>
  <c r="X65" i="17"/>
  <c r="Y65" i="17"/>
  <c r="Y43" i="17" s="1"/>
  <c r="Y56" i="17" s="1"/>
  <c r="Z65" i="17"/>
  <c r="Z43" i="17" s="1"/>
  <c r="AA65" i="17"/>
  <c r="AB65" i="17"/>
  <c r="AC65" i="17"/>
  <c r="AD65" i="17"/>
  <c r="AE65" i="17"/>
  <c r="AE43" i="17" s="1"/>
  <c r="AF65" i="17"/>
  <c r="AG65" i="17"/>
  <c r="AG43" i="17" s="1"/>
  <c r="AG56" i="17" s="1"/>
  <c r="AH65" i="17"/>
  <c r="AH43" i="17" s="1"/>
  <c r="AH56" i="17" s="1"/>
  <c r="AI65" i="17"/>
  <c r="AJ65" i="17"/>
  <c r="AK65" i="17"/>
  <c r="AL65" i="17"/>
  <c r="AM65" i="17"/>
  <c r="AW68" i="17" s="1"/>
  <c r="AN65" i="17"/>
  <c r="AO65" i="17"/>
  <c r="AO43" i="17" s="1"/>
  <c r="AO56" i="17" s="1"/>
  <c r="AP65" i="17"/>
  <c r="AP43" i="17" s="1"/>
  <c r="AP56" i="17" s="1"/>
  <c r="AQ65" i="17"/>
  <c r="AR65" i="17"/>
  <c r="AS65" i="17"/>
  <c r="AT65" i="17"/>
  <c r="AU65" i="17"/>
  <c r="AU43" i="17" s="1"/>
  <c r="AV65" i="17"/>
  <c r="AW65" i="17"/>
  <c r="AW43" i="17" s="1"/>
  <c r="AW56" i="17" s="1"/>
  <c r="AX65" i="17"/>
  <c r="BI68" i="17" s="1"/>
  <c r="AY65" i="17"/>
  <c r="AZ65" i="17"/>
  <c r="BA65" i="17"/>
  <c r="BB65" i="17"/>
  <c r="BC65" i="17"/>
  <c r="BC43" i="17" s="1"/>
  <c r="BD65" i="17"/>
  <c r="BE65" i="17"/>
  <c r="BE43" i="17" s="1"/>
  <c r="BE56" i="17" s="1"/>
  <c r="BF65" i="17"/>
  <c r="BF43" i="17" s="1"/>
  <c r="BF56" i="17" s="1"/>
  <c r="BG65" i="17"/>
  <c r="BH65" i="17"/>
  <c r="BI65" i="17"/>
  <c r="B65" i="17"/>
  <c r="B43" i="17" s="1"/>
  <c r="J12" i="17"/>
  <c r="AG54" i="17"/>
  <c r="AR54" i="17"/>
  <c r="AV54" i="17"/>
  <c r="R54" i="17"/>
  <c r="AP55" i="17"/>
  <c r="AO55" i="17"/>
  <c r="AN55" i="17"/>
  <c r="AM55" i="17"/>
  <c r="AL55" i="17"/>
  <c r="AK55" i="17"/>
  <c r="AJ55" i="17"/>
  <c r="AI55" i="17"/>
  <c r="AH55" i="17"/>
  <c r="AG55" i="17"/>
  <c r="AF55" i="17"/>
  <c r="AE55" i="17"/>
  <c r="AD55" i="17"/>
  <c r="AC55" i="17"/>
  <c r="AB55" i="17"/>
  <c r="AA55" i="17"/>
  <c r="Z55" i="17"/>
  <c r="Y55" i="17"/>
  <c r="X55" i="17"/>
  <c r="W55" i="17"/>
  <c r="V55" i="17"/>
  <c r="U55" i="17"/>
  <c r="T55" i="17"/>
  <c r="S55" i="17"/>
  <c r="R55" i="17"/>
  <c r="Q55" i="17"/>
  <c r="P55" i="17"/>
  <c r="O55" i="17"/>
  <c r="N55" i="17"/>
  <c r="M55" i="17"/>
  <c r="L55" i="17"/>
  <c r="K55" i="17"/>
  <c r="J55" i="17"/>
  <c r="I55" i="17"/>
  <c r="H55" i="17"/>
  <c r="G55" i="17"/>
  <c r="F55" i="17"/>
  <c r="E55" i="17"/>
  <c r="D55" i="17"/>
  <c r="C55" i="17"/>
  <c r="B55" i="17"/>
  <c r="BI54" i="17"/>
  <c r="BH54" i="17"/>
  <c r="BG54" i="17"/>
  <c r="BF54" i="17"/>
  <c r="BD54" i="17"/>
  <c r="BB54" i="17"/>
  <c r="BA54" i="17"/>
  <c r="AZ54" i="17"/>
  <c r="AY54" i="17"/>
  <c r="AX54" i="17"/>
  <c r="AQ54" i="17"/>
  <c r="AN54" i="17"/>
  <c r="AJ54" i="17"/>
  <c r="AI54" i="17"/>
  <c r="AF54" i="17"/>
  <c r="AE54" i="17"/>
  <c r="AC54" i="17"/>
  <c r="AB54" i="17"/>
  <c r="X54" i="17"/>
  <c r="W54" i="17"/>
  <c r="V54" i="17"/>
  <c r="U54" i="17"/>
  <c r="T54" i="17"/>
  <c r="S54" i="17"/>
  <c r="Q54" i="17"/>
  <c r="P54" i="17"/>
  <c r="M54" i="17"/>
  <c r="L54" i="17"/>
  <c r="K54" i="17"/>
  <c r="J54" i="17"/>
  <c r="H54" i="17"/>
  <c r="G54" i="17"/>
  <c r="F54" i="17"/>
  <c r="E54" i="17"/>
  <c r="D54" i="17"/>
  <c r="C54" i="17"/>
  <c r="B54" i="17"/>
  <c r="AV53" i="17"/>
  <c r="BH53" i="17" s="1"/>
  <c r="AU53" i="17"/>
  <c r="BG53" i="17" s="1"/>
  <c r="AN53" i="17"/>
  <c r="AZ53" i="17" s="1"/>
  <c r="Y53" i="17"/>
  <c r="AK53" i="17" s="1"/>
  <c r="AW53" i="17" s="1"/>
  <c r="BI53" i="17" s="1"/>
  <c r="X53" i="17"/>
  <c r="AJ53" i="17" s="1"/>
  <c r="W53" i="17"/>
  <c r="AI53" i="17" s="1"/>
  <c r="P53" i="17"/>
  <c r="AB53" i="17" s="1"/>
  <c r="O53" i="17"/>
  <c r="AA53" i="17" s="1"/>
  <c r="AM53" i="17" s="1"/>
  <c r="AY53" i="17" s="1"/>
  <c r="M53" i="17"/>
  <c r="L53" i="17"/>
  <c r="K53" i="17"/>
  <c r="J53" i="17"/>
  <c r="V53" i="17" s="1"/>
  <c r="AH53" i="17" s="1"/>
  <c r="AT53" i="17" s="1"/>
  <c r="BF53" i="17" s="1"/>
  <c r="I53" i="17"/>
  <c r="U53" i="17" s="1"/>
  <c r="AG53" i="17" s="1"/>
  <c r="AS53" i="17" s="1"/>
  <c r="BE53" i="17" s="1"/>
  <c r="H53" i="17"/>
  <c r="T53" i="17" s="1"/>
  <c r="AF53" i="17" s="1"/>
  <c r="AR53" i="17" s="1"/>
  <c r="BD53" i="17" s="1"/>
  <c r="F53" i="17"/>
  <c r="R53" i="17" s="1"/>
  <c r="AD53" i="17" s="1"/>
  <c r="AP53" i="17" s="1"/>
  <c r="BB53" i="17" s="1"/>
  <c r="E53" i="17"/>
  <c r="D53" i="17"/>
  <c r="C53" i="17"/>
  <c r="B53" i="17"/>
  <c r="N53" i="17" s="1"/>
  <c r="Z53" i="17" s="1"/>
  <c r="AL53" i="17" s="1"/>
  <c r="AX53" i="17" s="1"/>
  <c r="AJ52" i="17"/>
  <c r="AV52" i="17" s="1"/>
  <c r="BH52" i="17" s="1"/>
  <c r="AI52" i="17"/>
  <c r="AU52" i="17" s="1"/>
  <c r="BG52" i="17" s="1"/>
  <c r="U52" i="17"/>
  <c r="AG52" i="17" s="1"/>
  <c r="AS52" i="17" s="1"/>
  <c r="BE52" i="17" s="1"/>
  <c r="T52" i="17"/>
  <c r="AF52" i="17" s="1"/>
  <c r="AR52" i="17" s="1"/>
  <c r="BD52" i="17" s="1"/>
  <c r="S52" i="17"/>
  <c r="AE52" i="17" s="1"/>
  <c r="AQ52" i="17" s="1"/>
  <c r="BC52" i="17" s="1"/>
  <c r="N52" i="17"/>
  <c r="Z52" i="17" s="1"/>
  <c r="AL52" i="17" s="1"/>
  <c r="AX52" i="17" s="1"/>
  <c r="M52" i="17"/>
  <c r="Y52" i="17" s="1"/>
  <c r="AK52" i="17" s="1"/>
  <c r="AW52" i="17" s="1"/>
  <c r="BI52" i="17" s="1"/>
  <c r="L52" i="17"/>
  <c r="X52" i="17" s="1"/>
  <c r="K52" i="17"/>
  <c r="W52" i="17" s="1"/>
  <c r="J52" i="17"/>
  <c r="V52" i="17" s="1"/>
  <c r="AH52" i="17" s="1"/>
  <c r="AT52" i="17" s="1"/>
  <c r="BF52" i="17" s="1"/>
  <c r="I52" i="17"/>
  <c r="H52" i="17"/>
  <c r="G52" i="17"/>
  <c r="E52" i="17"/>
  <c r="Q52" i="17" s="1"/>
  <c r="AC52" i="17" s="1"/>
  <c r="AO52" i="17" s="1"/>
  <c r="BA52" i="17" s="1"/>
  <c r="D52" i="17"/>
  <c r="P52" i="17" s="1"/>
  <c r="AB52" i="17" s="1"/>
  <c r="AN52" i="17" s="1"/>
  <c r="AZ52" i="17" s="1"/>
  <c r="C52" i="17"/>
  <c r="O52" i="17" s="1"/>
  <c r="AA52" i="17" s="1"/>
  <c r="AM52" i="17" s="1"/>
  <c r="AY52" i="17" s="1"/>
  <c r="B52" i="17"/>
  <c r="P51" i="17"/>
  <c r="AB51" i="17" s="1"/>
  <c r="AN51" i="17" s="1"/>
  <c r="AZ51" i="17" s="1"/>
  <c r="G51" i="17"/>
  <c r="S51" i="17" s="1"/>
  <c r="AE51" i="17" s="1"/>
  <c r="AQ51" i="17" s="1"/>
  <c r="BC51" i="17" s="1"/>
  <c r="X49" i="17"/>
  <c r="AJ49" i="17" s="1"/>
  <c r="AV49" i="17" s="1"/>
  <c r="BH49" i="17" s="1"/>
  <c r="P49" i="17"/>
  <c r="AB49" i="17" s="1"/>
  <c r="AN49" i="17" s="1"/>
  <c r="AZ49" i="17" s="1"/>
  <c r="E49" i="17"/>
  <c r="Q49" i="17" s="1"/>
  <c r="AC49" i="17" s="1"/>
  <c r="AO49" i="17" s="1"/>
  <c r="BA49" i="17" s="1"/>
  <c r="AK48" i="17"/>
  <c r="AW48" i="17" s="1"/>
  <c r="BI48" i="17" s="1"/>
  <c r="AI48" i="17"/>
  <c r="AU48" i="17" s="1"/>
  <c r="BG48" i="17" s="1"/>
  <c r="AH48" i="17"/>
  <c r="AT48" i="17" s="1"/>
  <c r="BF48" i="17" s="1"/>
  <c r="AF48" i="17"/>
  <c r="AR48" i="17" s="1"/>
  <c r="BD48" i="17" s="1"/>
  <c r="AC48" i="17"/>
  <c r="AO48" i="17" s="1"/>
  <c r="BA48" i="17" s="1"/>
  <c r="AA48" i="17"/>
  <c r="AM48" i="17" s="1"/>
  <c r="AY48" i="17" s="1"/>
  <c r="Z48" i="17"/>
  <c r="AL48" i="17" s="1"/>
  <c r="AX48" i="17" s="1"/>
  <c r="Y48" i="17"/>
  <c r="X48" i="17"/>
  <c r="AJ48" i="17" s="1"/>
  <c r="AV48" i="17" s="1"/>
  <c r="BH48" i="17" s="1"/>
  <c r="W48" i="17"/>
  <c r="V48" i="17"/>
  <c r="U48" i="17"/>
  <c r="AG48" i="17" s="1"/>
  <c r="AS48" i="17" s="1"/>
  <c r="BE48" i="17" s="1"/>
  <c r="T48" i="17"/>
  <c r="S48" i="17"/>
  <c r="AE48" i="17" s="1"/>
  <c r="AQ48" i="17" s="1"/>
  <c r="BC48" i="17" s="1"/>
  <c r="R48" i="17"/>
  <c r="AD48" i="17" s="1"/>
  <c r="AP48" i="17" s="1"/>
  <c r="BB48" i="17" s="1"/>
  <c r="Q48" i="17"/>
  <c r="P48" i="17"/>
  <c r="AB48" i="17" s="1"/>
  <c r="AN48" i="17" s="1"/>
  <c r="AZ48" i="17" s="1"/>
  <c r="O48" i="17"/>
  <c r="N48" i="17"/>
  <c r="BI47" i="17"/>
  <c r="BH47" i="17"/>
  <c r="BG47" i="17"/>
  <c r="BF47" i="17"/>
  <c r="BE47" i="17"/>
  <c r="BD47" i="17"/>
  <c r="BC47" i="17"/>
  <c r="BB47" i="17"/>
  <c r="BA47" i="17"/>
  <c r="AZ47" i="17"/>
  <c r="AY47" i="17"/>
  <c r="AX47" i="17"/>
  <c r="AW47" i="17"/>
  <c r="AV47" i="17"/>
  <c r="AU47" i="17"/>
  <c r="AT47" i="17"/>
  <c r="AS47" i="17"/>
  <c r="AR47" i="17"/>
  <c r="AQ47" i="17"/>
  <c r="AP47" i="17"/>
  <c r="AO47" i="17"/>
  <c r="AN47" i="17"/>
  <c r="AM47" i="17"/>
  <c r="AL47" i="17"/>
  <c r="AK47" i="17"/>
  <c r="AJ47" i="17"/>
  <c r="AI47" i="17"/>
  <c r="AH47" i="17"/>
  <c r="AG47" i="17"/>
  <c r="AF47" i="17"/>
  <c r="AE47" i="17"/>
  <c r="AD47" i="17"/>
  <c r="AC47" i="17"/>
  <c r="AB47" i="17"/>
  <c r="AA47" i="17"/>
  <c r="Z47" i="17"/>
  <c r="Y47" i="17"/>
  <c r="X47" i="17"/>
  <c r="W47" i="17"/>
  <c r="V47" i="17"/>
  <c r="U47" i="17"/>
  <c r="T47" i="17"/>
  <c r="S47" i="17"/>
  <c r="R47" i="17"/>
  <c r="Q47" i="17"/>
  <c r="P47" i="17"/>
  <c r="O47" i="17"/>
  <c r="N47" i="17"/>
  <c r="M47" i="17"/>
  <c r="L47" i="17"/>
  <c r="K47" i="17"/>
  <c r="J47" i="17"/>
  <c r="I47" i="17"/>
  <c r="H47" i="17"/>
  <c r="G47" i="17"/>
  <c r="F47" i="17"/>
  <c r="E47" i="17"/>
  <c r="D47" i="17"/>
  <c r="C47" i="17"/>
  <c r="B47" i="17"/>
  <c r="AZ44" i="17"/>
  <c r="AR44" i="17"/>
  <c r="V44" i="17"/>
  <c r="G44" i="17"/>
  <c r="D44" i="17"/>
  <c r="BI43" i="17"/>
  <c r="BI56" i="17" s="1"/>
  <c r="BH43" i="17"/>
  <c r="BH56" i="17" s="1"/>
  <c r="BG43" i="17"/>
  <c r="BG56" i="17" s="1"/>
  <c r="BD43" i="17"/>
  <c r="BD56" i="17" s="1"/>
  <c r="BB43" i="17"/>
  <c r="BB56" i="17" s="1"/>
  <c r="BA43" i="17"/>
  <c r="BA56" i="17" s="1"/>
  <c r="AZ43" i="17"/>
  <c r="AZ56" i="17" s="1"/>
  <c r="AY43" i="17"/>
  <c r="AY56" i="17" s="1"/>
  <c r="AV43" i="17"/>
  <c r="AV56" i="17" s="1"/>
  <c r="AT43" i="17"/>
  <c r="AT56" i="17" s="1"/>
  <c r="AS43" i="17"/>
  <c r="AS56" i="17" s="1"/>
  <c r="AR43" i="17"/>
  <c r="AR56" i="17" s="1"/>
  <c r="AQ43" i="17"/>
  <c r="AQ56" i="17" s="1"/>
  <c r="AN43" i="17"/>
  <c r="AN56" i="17" s="1"/>
  <c r="AL43" i="17"/>
  <c r="AL44" i="17" s="1"/>
  <c r="AK43" i="17"/>
  <c r="AK56" i="17" s="1"/>
  <c r="AJ43" i="17"/>
  <c r="AJ56" i="17" s="1"/>
  <c r="AI43" i="17"/>
  <c r="AI56" i="17" s="1"/>
  <c r="AF43" i="17"/>
  <c r="AF56" i="17" s="1"/>
  <c r="AD43" i="17"/>
  <c r="AD56" i="17" s="1"/>
  <c r="AC43" i="17"/>
  <c r="AC56" i="17" s="1"/>
  <c r="AB43" i="17"/>
  <c r="AB56" i="17" s="1"/>
  <c r="AA43" i="17"/>
  <c r="AA56" i="17" s="1"/>
  <c r="X43" i="17"/>
  <c r="X56" i="17" s="1"/>
  <c r="V43" i="17"/>
  <c r="V56" i="17" s="1"/>
  <c r="U43" i="17"/>
  <c r="U56" i="17" s="1"/>
  <c r="T43" i="17"/>
  <c r="T56" i="17" s="1"/>
  <c r="S43" i="17"/>
  <c r="S56" i="17" s="1"/>
  <c r="P43" i="17"/>
  <c r="P56" i="17" s="1"/>
  <c r="N43" i="17"/>
  <c r="N56" i="17" s="1"/>
  <c r="M43" i="17"/>
  <c r="M56" i="17" s="1"/>
  <c r="L43" i="17"/>
  <c r="L56" i="17" s="1"/>
  <c r="K43" i="17"/>
  <c r="K56" i="17" s="1"/>
  <c r="H43" i="17"/>
  <c r="H56" i="17" s="1"/>
  <c r="G43" i="17"/>
  <c r="G56" i="17" s="1"/>
  <c r="F43" i="17"/>
  <c r="F56" i="17" s="1"/>
  <c r="E43" i="17"/>
  <c r="E56" i="17" s="1"/>
  <c r="D43" i="17"/>
  <c r="D56" i="17" s="1"/>
  <c r="C43" i="17"/>
  <c r="C56" i="17" s="1"/>
  <c r="C36" i="17"/>
  <c r="D36" i="17" s="1"/>
  <c r="E36" i="17" s="1"/>
  <c r="F36" i="17" s="1"/>
  <c r="G36" i="17" s="1"/>
  <c r="J27" i="17" a="1"/>
  <c r="B27" i="17" a="1"/>
  <c r="B27" i="17" s="1"/>
  <c r="B26" i="17"/>
  <c r="N25" i="17"/>
  <c r="M25" i="17"/>
  <c r="L25" i="17"/>
  <c r="K25" i="17"/>
  <c r="J25" i="17"/>
  <c r="I25" i="17"/>
  <c r="H25" i="17"/>
  <c r="G25" i="17"/>
  <c r="O25" i="17" s="1"/>
  <c r="N24" i="17"/>
  <c r="M24" i="17"/>
  <c r="L24" i="17"/>
  <c r="K24" i="17"/>
  <c r="J24" i="17"/>
  <c r="G24" i="17"/>
  <c r="F24" i="17"/>
  <c r="E24" i="17"/>
  <c r="D24" i="17"/>
  <c r="C24" i="17"/>
  <c r="O23" i="17"/>
  <c r="H23" i="17"/>
  <c r="G53" i="17" s="1"/>
  <c r="G22" i="17"/>
  <c r="F52" i="17" s="1"/>
  <c r="R52" i="17" s="1"/>
  <c r="AD52" i="17" s="1"/>
  <c r="AP52" i="17" s="1"/>
  <c r="BB52" i="17" s="1"/>
  <c r="E22" i="17"/>
  <c r="O22" i="17" s="1"/>
  <c r="N21" i="17"/>
  <c r="M51" i="17" s="1"/>
  <c r="Y51" i="17" s="1"/>
  <c r="AK51" i="17" s="1"/>
  <c r="AW51" i="17" s="1"/>
  <c r="BI51" i="17" s="1"/>
  <c r="M21" i="17"/>
  <c r="L51" i="17" s="1"/>
  <c r="X51" i="17" s="1"/>
  <c r="AJ51" i="17" s="1"/>
  <c r="AV51" i="17" s="1"/>
  <c r="BH51" i="17" s="1"/>
  <c r="L21" i="17"/>
  <c r="K51" i="17" s="1"/>
  <c r="W51" i="17" s="1"/>
  <c r="AI51" i="17" s="1"/>
  <c r="AU51" i="17" s="1"/>
  <c r="BG51" i="17" s="1"/>
  <c r="K21" i="17"/>
  <c r="J51" i="17" s="1"/>
  <c r="V51" i="17" s="1"/>
  <c r="AH51" i="17" s="1"/>
  <c r="AT51" i="17" s="1"/>
  <c r="BF51" i="17" s="1"/>
  <c r="J21" i="17"/>
  <c r="I51" i="17" s="1"/>
  <c r="U51" i="17" s="1"/>
  <c r="AG51" i="17" s="1"/>
  <c r="AS51" i="17" s="1"/>
  <c r="BE51" i="17" s="1"/>
  <c r="I21" i="17"/>
  <c r="H51" i="17" s="1"/>
  <c r="T51" i="17" s="1"/>
  <c r="AF51" i="17" s="1"/>
  <c r="AR51" i="17" s="1"/>
  <c r="BD51" i="17" s="1"/>
  <c r="H21" i="17"/>
  <c r="G21" i="17"/>
  <c r="F51" i="17" s="1"/>
  <c r="R51" i="17" s="1"/>
  <c r="AD51" i="17" s="1"/>
  <c r="AP51" i="17" s="1"/>
  <c r="BB51" i="17" s="1"/>
  <c r="F21" i="17"/>
  <c r="E51" i="17" s="1"/>
  <c r="Q51" i="17" s="1"/>
  <c r="AC51" i="17" s="1"/>
  <c r="AO51" i="17" s="1"/>
  <c r="BA51" i="17" s="1"/>
  <c r="E21" i="17"/>
  <c r="D51" i="17" s="1"/>
  <c r="D21" i="17"/>
  <c r="C51" i="17" s="1"/>
  <c r="O51" i="17" s="1"/>
  <c r="AA51" i="17" s="1"/>
  <c r="AM51" i="17" s="1"/>
  <c r="AY51" i="17" s="1"/>
  <c r="C21" i="17"/>
  <c r="B51" i="17" s="1"/>
  <c r="N51" i="17" s="1"/>
  <c r="Z51" i="17" s="1"/>
  <c r="AL51" i="17" s="1"/>
  <c r="AX51" i="17" s="1"/>
  <c r="B21" i="17"/>
  <c r="N19" i="17"/>
  <c r="M49" i="17" s="1"/>
  <c r="Y49" i="17" s="1"/>
  <c r="AK49" i="17" s="1"/>
  <c r="AW49" i="17" s="1"/>
  <c r="BI49" i="17" s="1"/>
  <c r="M19" i="17"/>
  <c r="L49" i="17" s="1"/>
  <c r="L19" i="17"/>
  <c r="K49" i="17" s="1"/>
  <c r="W49" i="17" s="1"/>
  <c r="K19" i="17"/>
  <c r="J49" i="17" s="1"/>
  <c r="V49" i="17" s="1"/>
  <c r="AH49" i="17" s="1"/>
  <c r="AT49" i="17" s="1"/>
  <c r="BF49" i="17" s="1"/>
  <c r="J19" i="17"/>
  <c r="I49" i="17" s="1"/>
  <c r="U49" i="17" s="1"/>
  <c r="AG49" i="17" s="1"/>
  <c r="AS49" i="17" s="1"/>
  <c r="BE49" i="17" s="1"/>
  <c r="I19" i="17"/>
  <c r="H49" i="17" s="1"/>
  <c r="T49" i="17" s="1"/>
  <c r="AF49" i="17" s="1"/>
  <c r="AR49" i="17" s="1"/>
  <c r="BD49" i="17" s="1"/>
  <c r="H19" i="17"/>
  <c r="G49" i="17" s="1"/>
  <c r="S49" i="17" s="1"/>
  <c r="AE49" i="17" s="1"/>
  <c r="AQ49" i="17" s="1"/>
  <c r="BC49" i="17" s="1"/>
  <c r="G19" i="17"/>
  <c r="F49" i="17" s="1"/>
  <c r="R49" i="17" s="1"/>
  <c r="AD49" i="17" s="1"/>
  <c r="AP49" i="17" s="1"/>
  <c r="BB49" i="17" s="1"/>
  <c r="F19" i="17"/>
  <c r="E19" i="17"/>
  <c r="D49" i="17" s="1"/>
  <c r="D19" i="17"/>
  <c r="C49" i="17" s="1"/>
  <c r="O49" i="17" s="1"/>
  <c r="AA49" i="17" s="1"/>
  <c r="AM49" i="17" s="1"/>
  <c r="AY49" i="17" s="1"/>
  <c r="C19" i="17"/>
  <c r="B49" i="17" s="1"/>
  <c r="N49" i="17" s="1"/>
  <c r="Z49" i="17" s="1"/>
  <c r="AL49" i="17" s="1"/>
  <c r="AX49" i="17" s="1"/>
  <c r="B19" i="17"/>
  <c r="O18" i="17"/>
  <c r="N17" i="17"/>
  <c r="M17" i="17"/>
  <c r="L17" i="17"/>
  <c r="K17" i="17"/>
  <c r="J17" i="17"/>
  <c r="I17" i="17"/>
  <c r="H17" i="17"/>
  <c r="H27" i="17" s="1" a="1"/>
  <c r="G17" i="17"/>
  <c r="F17" i="17"/>
  <c r="E17" i="17"/>
  <c r="D17" i="17"/>
  <c r="C17" i="17"/>
  <c r="B16" i="17"/>
  <c r="B28" i="17" s="1"/>
  <c r="N12" i="17"/>
  <c r="N26" i="17" s="1"/>
  <c r="M12" i="17"/>
  <c r="M26" i="17" s="1"/>
  <c r="L12" i="17"/>
  <c r="L13" i="17" s="1"/>
  <c r="K12" i="17"/>
  <c r="K26" i="17" s="1"/>
  <c r="G12" i="17"/>
  <c r="G26" i="17" s="1"/>
  <c r="F12" i="17"/>
  <c r="F26" i="17" s="1"/>
  <c r="E12" i="17"/>
  <c r="E26" i="17" s="1"/>
  <c r="D12" i="17"/>
  <c r="D13" i="17" s="1"/>
  <c r="C12" i="17"/>
  <c r="C13" i="17" s="1"/>
  <c r="O9" i="17"/>
  <c r="G9" i="17"/>
  <c r="O8" i="17"/>
  <c r="O10" i="17" s="1"/>
  <c r="O7" i="17"/>
  <c r="B7" i="17"/>
  <c r="B13" i="17" s="1"/>
  <c r="C50" i="9"/>
  <c r="D50" i="9"/>
  <c r="E50" i="9"/>
  <c r="F50" i="9"/>
  <c r="G50" i="9"/>
  <c r="H50" i="9"/>
  <c r="I50" i="9"/>
  <c r="J50" i="9"/>
  <c r="K50" i="9"/>
  <c r="L50" i="9"/>
  <c r="M50" i="9"/>
  <c r="B50" i="9"/>
  <c r="N50" i="9"/>
  <c r="O50" i="9"/>
  <c r="P50" i="9"/>
  <c r="Q50" i="9"/>
  <c r="R50" i="9"/>
  <c r="S50" i="9"/>
  <c r="T50" i="9"/>
  <c r="U50" i="9"/>
  <c r="V50" i="9"/>
  <c r="W50" i="9"/>
  <c r="X50" i="9"/>
  <c r="Y50" i="9"/>
  <c r="H55" i="3"/>
  <c r="I55" i="3"/>
  <c r="I58" i="3" s="1"/>
  <c r="J55" i="3"/>
  <c r="K55" i="3"/>
  <c r="L55" i="3"/>
  <c r="L58" i="3" s="1"/>
  <c r="M55" i="3"/>
  <c r="N55" i="3"/>
  <c r="N58" i="3" s="1"/>
  <c r="O55" i="3"/>
  <c r="O58" i="3" s="1"/>
  <c r="P55" i="3"/>
  <c r="Q55" i="3"/>
  <c r="Q58" i="3" s="1"/>
  <c r="R55" i="3"/>
  <c r="G55" i="3"/>
  <c r="G58" i="3" s="1"/>
  <c r="H58" i="3"/>
  <c r="J58" i="3"/>
  <c r="K58" i="3"/>
  <c r="M58" i="3"/>
  <c r="P58" i="3"/>
  <c r="R58" i="3"/>
  <c r="H44" i="3"/>
  <c r="I44" i="3"/>
  <c r="J44" i="3"/>
  <c r="K44" i="3"/>
  <c r="K49" i="3" s="1"/>
  <c r="L44" i="3"/>
  <c r="L49" i="3" s="1"/>
  <c r="M44" i="3"/>
  <c r="N44" i="3"/>
  <c r="N49" i="3" s="1"/>
  <c r="O44" i="3"/>
  <c r="O49" i="3" s="1"/>
  <c r="P44" i="3"/>
  <c r="Q44" i="3"/>
  <c r="R44" i="3"/>
  <c r="H45" i="3"/>
  <c r="I45" i="3"/>
  <c r="I49" i="3" s="1"/>
  <c r="J45" i="3"/>
  <c r="K45" i="3"/>
  <c r="L45" i="3"/>
  <c r="M45" i="3"/>
  <c r="N45" i="3"/>
  <c r="O45" i="3"/>
  <c r="P45" i="3"/>
  <c r="Q45" i="3"/>
  <c r="Q49" i="3" s="1"/>
  <c r="R45" i="3"/>
  <c r="H46" i="3"/>
  <c r="I46" i="3"/>
  <c r="J46" i="3"/>
  <c r="K46" i="3"/>
  <c r="L46" i="3"/>
  <c r="M46" i="3"/>
  <c r="N46" i="3"/>
  <c r="O46" i="3"/>
  <c r="P46" i="3"/>
  <c r="Q46" i="3"/>
  <c r="R46" i="3"/>
  <c r="H47" i="3"/>
  <c r="I47" i="3"/>
  <c r="J47" i="3"/>
  <c r="J49" i="3" s="1"/>
  <c r="K47" i="3"/>
  <c r="L47" i="3"/>
  <c r="M47" i="3"/>
  <c r="N47" i="3"/>
  <c r="O47" i="3"/>
  <c r="P47" i="3"/>
  <c r="Q47" i="3"/>
  <c r="R47" i="3"/>
  <c r="H48" i="3"/>
  <c r="I48" i="3"/>
  <c r="J48" i="3"/>
  <c r="K48" i="3"/>
  <c r="L48" i="3"/>
  <c r="M48" i="3"/>
  <c r="N48" i="3"/>
  <c r="O48" i="3"/>
  <c r="P48" i="3"/>
  <c r="Q48" i="3"/>
  <c r="R48" i="3"/>
  <c r="G46" i="3"/>
  <c r="G47" i="3"/>
  <c r="G48" i="3"/>
  <c r="G45" i="3"/>
  <c r="G44" i="3"/>
  <c r="G49" i="3" s="1"/>
  <c r="M49" i="3"/>
  <c r="H49" i="3"/>
  <c r="P49" i="3"/>
  <c r="R49" i="3"/>
  <c r="D49" i="3"/>
  <c r="D55" i="3" s="1"/>
  <c r="D58" i="3" s="1"/>
  <c r="E53" i="9"/>
  <c r="H23" i="9"/>
  <c r="G53" i="9" s="1"/>
  <c r="S53" i="9" s="1"/>
  <c r="AE53" i="9" s="1"/>
  <c r="AQ53" i="9" s="1"/>
  <c r="BC53" i="9" s="1"/>
  <c r="I53" i="9"/>
  <c r="U53" i="9" s="1"/>
  <c r="AG53" i="9" s="1"/>
  <c r="AS53" i="9" s="1"/>
  <c r="BE53" i="9" s="1"/>
  <c r="AE64" i="9"/>
  <c r="AQ64" i="9" s="1"/>
  <c r="B14" i="7"/>
  <c r="C22" i="1"/>
  <c r="E22" i="1"/>
  <c r="F22" i="1"/>
  <c r="G22" i="1"/>
  <c r="H22" i="1"/>
  <c r="D22" i="1"/>
  <c r="G20" i="10"/>
  <c r="F20" i="10"/>
  <c r="F16" i="12" s="1"/>
  <c r="F16" i="13" s="1"/>
  <c r="E20" i="10"/>
  <c r="D20" i="10"/>
  <c r="C20" i="10"/>
  <c r="C16" i="12" s="1"/>
  <c r="C16" i="13" s="1"/>
  <c r="E22" i="13"/>
  <c r="D22" i="13"/>
  <c r="D23" i="13" s="1"/>
  <c r="E19" i="13"/>
  <c r="D19" i="13"/>
  <c r="AY62" i="16"/>
  <c r="AY52" i="16" s="1"/>
  <c r="AZ62" i="16"/>
  <c r="BA62" i="16"/>
  <c r="BB62" i="16"/>
  <c r="BC62" i="16"/>
  <c r="BC52" i="16" s="1"/>
  <c r="BD62" i="16"/>
  <c r="BE62" i="16"/>
  <c r="BF62" i="16"/>
  <c r="BF52" i="16" s="1"/>
  <c r="BG62" i="16"/>
  <c r="BG52" i="16" s="1"/>
  <c r="BH62" i="16"/>
  <c r="BI62" i="16"/>
  <c r="AY63" i="16"/>
  <c r="AZ63" i="16"/>
  <c r="AZ42" i="16" s="1"/>
  <c r="AZ54" i="16" s="1"/>
  <c r="BA63" i="16"/>
  <c r="BB63" i="16"/>
  <c r="BC63" i="16"/>
  <c r="BC42" i="16" s="1"/>
  <c r="BC54" i="16" s="1"/>
  <c r="BD63" i="16"/>
  <c r="BD42" i="16" s="1"/>
  <c r="BD54" i="16" s="1"/>
  <c r="BE63" i="16"/>
  <c r="BF63" i="16"/>
  <c r="BG63" i="16"/>
  <c r="BH63" i="16"/>
  <c r="BH42" i="16" s="1"/>
  <c r="BH54" i="16" s="1"/>
  <c r="BI63" i="16"/>
  <c r="AM62" i="16"/>
  <c r="AN62" i="16"/>
  <c r="AO62" i="16"/>
  <c r="AP62" i="16"/>
  <c r="AQ62" i="16"/>
  <c r="AV62" i="16"/>
  <c r="AW62" i="16"/>
  <c r="AO42" i="16"/>
  <c r="AO54" i="16" s="1"/>
  <c r="AV63" i="16"/>
  <c r="AW63" i="16"/>
  <c r="AW42" i="16" s="1"/>
  <c r="AW54" i="16" s="1"/>
  <c r="AL62" i="16"/>
  <c r="AX62" i="16" s="1"/>
  <c r="AX52" i="16" s="1"/>
  <c r="AD55" i="9"/>
  <c r="AE55" i="9"/>
  <c r="AF55" i="9"/>
  <c r="AG55" i="9"/>
  <c r="AH55" i="9"/>
  <c r="AI55" i="9"/>
  <c r="AJ55" i="9"/>
  <c r="AK55" i="9"/>
  <c r="AL55" i="9"/>
  <c r="AM55" i="9"/>
  <c r="AN55" i="9"/>
  <c r="AO55" i="9"/>
  <c r="AP55" i="9"/>
  <c r="AK62" i="16"/>
  <c r="AI62" i="16"/>
  <c r="AD52" i="16"/>
  <c r="AA63" i="16"/>
  <c r="AB63" i="16"/>
  <c r="AC63" i="16"/>
  <c r="AD63" i="16"/>
  <c r="AE63" i="16"/>
  <c r="AF63" i="16"/>
  <c r="AF42" i="16" s="1"/>
  <c r="AF54" i="16" s="1"/>
  <c r="AG63" i="16"/>
  <c r="AH63" i="16"/>
  <c r="AI63" i="16"/>
  <c r="AJ63" i="16"/>
  <c r="AK63" i="16"/>
  <c r="Z63" i="16"/>
  <c r="AL63" i="16" s="1"/>
  <c r="AX63" i="16" s="1"/>
  <c r="O50" i="16"/>
  <c r="AA50" i="16" s="1"/>
  <c r="AM50" i="16" s="1"/>
  <c r="AY50" i="16" s="1"/>
  <c r="O51" i="16"/>
  <c r="AA51" i="16" s="1"/>
  <c r="AM51" i="16" s="1"/>
  <c r="AY51" i="16" s="1"/>
  <c r="G35" i="16"/>
  <c r="H35" i="16" s="1"/>
  <c r="I35" i="16" s="1"/>
  <c r="J35" i="16" s="1"/>
  <c r="K35" i="16" s="1"/>
  <c r="L35" i="16" s="1"/>
  <c r="M35" i="16" s="1"/>
  <c r="N35" i="16" s="1"/>
  <c r="F35" i="16"/>
  <c r="M66" i="16"/>
  <c r="M65" i="16"/>
  <c r="AR42" i="16"/>
  <c r="AR54" i="16" s="1"/>
  <c r="AI42" i="16"/>
  <c r="AK42" i="16"/>
  <c r="AJ42" i="16"/>
  <c r="T42" i="16"/>
  <c r="S42" i="16"/>
  <c r="R42" i="16"/>
  <c r="R54" i="16" s="1"/>
  <c r="V52" i="16"/>
  <c r="AO53" i="16"/>
  <c r="AN53" i="16"/>
  <c r="AM53" i="16"/>
  <c r="AL53" i="16"/>
  <c r="AK53" i="16"/>
  <c r="AJ53" i="16"/>
  <c r="AI53" i="16"/>
  <c r="AH53" i="16"/>
  <c r="AG53" i="16"/>
  <c r="AF53" i="16"/>
  <c r="AE53" i="16"/>
  <c r="AD53" i="16"/>
  <c r="AC53" i="16"/>
  <c r="AB53" i="16"/>
  <c r="AA53" i="16"/>
  <c r="Z53" i="16"/>
  <c r="Y53" i="16"/>
  <c r="X53" i="16"/>
  <c r="W53" i="16"/>
  <c r="V53" i="16"/>
  <c r="U53" i="16"/>
  <c r="T53" i="16"/>
  <c r="S53" i="16"/>
  <c r="R53" i="16"/>
  <c r="Q53" i="16"/>
  <c r="P53" i="16"/>
  <c r="O53" i="16"/>
  <c r="N53" i="16"/>
  <c r="M53" i="16"/>
  <c r="L53" i="16"/>
  <c r="K53" i="16"/>
  <c r="J53" i="16"/>
  <c r="I53" i="16"/>
  <c r="H53" i="16"/>
  <c r="G53" i="16"/>
  <c r="F53" i="16"/>
  <c r="E53" i="16"/>
  <c r="D53" i="16"/>
  <c r="C53" i="16"/>
  <c r="B53" i="16"/>
  <c r="BI52" i="16"/>
  <c r="BH52" i="16"/>
  <c r="BE52" i="16"/>
  <c r="BD52" i="16"/>
  <c r="BB52" i="16"/>
  <c r="BA52" i="16"/>
  <c r="AZ52" i="16"/>
  <c r="X52" i="16"/>
  <c r="T52" i="16"/>
  <c r="R52" i="16"/>
  <c r="Q52" i="16"/>
  <c r="P52" i="16"/>
  <c r="O52" i="16"/>
  <c r="M52" i="16"/>
  <c r="L52" i="16"/>
  <c r="K52" i="16"/>
  <c r="J52" i="16"/>
  <c r="I52" i="16"/>
  <c r="H52" i="16"/>
  <c r="G52" i="16"/>
  <c r="F52" i="16"/>
  <c r="E52" i="16"/>
  <c r="D52" i="16"/>
  <c r="C52" i="16"/>
  <c r="B52" i="16"/>
  <c r="BF51" i="16"/>
  <c r="AV51" i="16"/>
  <c r="BH51" i="16" s="1"/>
  <c r="AU51" i="16"/>
  <c r="BG51" i="16" s="1"/>
  <c r="AT51" i="16"/>
  <c r="AE51" i="16"/>
  <c r="AQ51" i="16" s="1"/>
  <c r="BC51" i="16" s="1"/>
  <c r="AD51" i="16"/>
  <c r="AP51" i="16" s="1"/>
  <c r="BB51" i="16" s="1"/>
  <c r="Z51" i="16"/>
  <c r="AL51" i="16" s="1"/>
  <c r="AX51" i="16" s="1"/>
  <c r="X51" i="16"/>
  <c r="AJ51" i="16" s="1"/>
  <c r="W51" i="16"/>
  <c r="AI51" i="16" s="1"/>
  <c r="R51" i="16"/>
  <c r="P51" i="16"/>
  <c r="AB51" i="16" s="1"/>
  <c r="AN51" i="16" s="1"/>
  <c r="AZ51" i="16" s="1"/>
  <c r="N51" i="16"/>
  <c r="M51" i="16"/>
  <c r="Y51" i="16" s="1"/>
  <c r="AK51" i="16" s="1"/>
  <c r="AW51" i="16" s="1"/>
  <c r="BI51" i="16" s="1"/>
  <c r="L51" i="16"/>
  <c r="K51" i="16"/>
  <c r="J51" i="16"/>
  <c r="V51" i="16" s="1"/>
  <c r="AH51" i="16" s="1"/>
  <c r="H51" i="16"/>
  <c r="T51" i="16" s="1"/>
  <c r="AF51" i="16" s="1"/>
  <c r="AR51" i="16" s="1"/>
  <c r="BD51" i="16" s="1"/>
  <c r="G51" i="16"/>
  <c r="S51" i="16" s="1"/>
  <c r="F51" i="16"/>
  <c r="D51" i="16"/>
  <c r="B51" i="16"/>
  <c r="AJ50" i="16"/>
  <c r="AV50" i="16" s="1"/>
  <c r="BH50" i="16" s="1"/>
  <c r="AI50" i="16"/>
  <c r="AU50" i="16" s="1"/>
  <c r="BG50" i="16" s="1"/>
  <c r="AH50" i="16"/>
  <c r="AT50" i="16" s="1"/>
  <c r="BF50" i="16" s="1"/>
  <c r="T50" i="16"/>
  <c r="AF50" i="16" s="1"/>
  <c r="AR50" i="16" s="1"/>
  <c r="BD50" i="16" s="1"/>
  <c r="S50" i="16"/>
  <c r="AE50" i="16" s="1"/>
  <c r="AQ50" i="16" s="1"/>
  <c r="BC50" i="16" s="1"/>
  <c r="R50" i="16"/>
  <c r="AD50" i="16" s="1"/>
  <c r="AP50" i="16" s="1"/>
  <c r="BB50" i="16" s="1"/>
  <c r="M50" i="16"/>
  <c r="Y50" i="16" s="1"/>
  <c r="AK50" i="16" s="1"/>
  <c r="AW50" i="16" s="1"/>
  <c r="BI50" i="16" s="1"/>
  <c r="L50" i="16"/>
  <c r="X50" i="16" s="1"/>
  <c r="K50" i="16"/>
  <c r="W50" i="16" s="1"/>
  <c r="J50" i="16"/>
  <c r="V50" i="16" s="1"/>
  <c r="H50" i="16"/>
  <c r="G50" i="16"/>
  <c r="F50" i="16"/>
  <c r="E50" i="16"/>
  <c r="Q50" i="16" s="1"/>
  <c r="AC50" i="16" s="1"/>
  <c r="AO50" i="16" s="1"/>
  <c r="BA50" i="16" s="1"/>
  <c r="B50" i="16"/>
  <c r="N50" i="16" s="1"/>
  <c r="Z50" i="16" s="1"/>
  <c r="AL50" i="16" s="1"/>
  <c r="AX50" i="16" s="1"/>
  <c r="AK47" i="16"/>
  <c r="AW47" i="16" s="1"/>
  <c r="BI47" i="16" s="1"/>
  <c r="AJ47" i="16"/>
  <c r="AV47" i="16" s="1"/>
  <c r="BH47" i="16" s="1"/>
  <c r="AE47" i="16"/>
  <c r="AQ47" i="16" s="1"/>
  <c r="BC47" i="16" s="1"/>
  <c r="AD47" i="16"/>
  <c r="AP47" i="16" s="1"/>
  <c r="BB47" i="16" s="1"/>
  <c r="AC47" i="16"/>
  <c r="AO47" i="16" s="1"/>
  <c r="BA47" i="16" s="1"/>
  <c r="AB47" i="16"/>
  <c r="AN47" i="16" s="1"/>
  <c r="AZ47" i="16" s="1"/>
  <c r="Y47" i="16"/>
  <c r="X47" i="16"/>
  <c r="W47" i="16"/>
  <c r="AI47" i="16" s="1"/>
  <c r="AU47" i="16" s="1"/>
  <c r="BG47" i="16" s="1"/>
  <c r="V47" i="16"/>
  <c r="AH47" i="16" s="1"/>
  <c r="U47" i="16"/>
  <c r="AG47" i="16" s="1"/>
  <c r="AS47" i="16" s="1"/>
  <c r="BE47" i="16" s="1"/>
  <c r="T47" i="16"/>
  <c r="AF47" i="16" s="1"/>
  <c r="AR47" i="16" s="1"/>
  <c r="BD47" i="16" s="1"/>
  <c r="S47" i="16"/>
  <c r="R47" i="16"/>
  <c r="Q47" i="16"/>
  <c r="P47" i="16"/>
  <c r="O47" i="16"/>
  <c r="AA47" i="16" s="1"/>
  <c r="AM47" i="16" s="1"/>
  <c r="AY47" i="16" s="1"/>
  <c r="N47" i="16"/>
  <c r="Z47" i="16" s="1"/>
  <c r="AL47" i="16" s="1"/>
  <c r="BI42" i="16"/>
  <c r="BG42" i="16"/>
  <c r="BG54" i="16" s="1"/>
  <c r="BF42" i="16"/>
  <c r="BF43" i="16" s="1"/>
  <c r="BE42" i="16"/>
  <c r="BE54" i="16" s="1"/>
  <c r="BB42" i="16"/>
  <c r="BB43" i="16" s="1"/>
  <c r="BA42" i="16"/>
  <c r="AY42" i="16"/>
  <c r="AY54" i="16" s="1"/>
  <c r="AV42" i="16"/>
  <c r="AV54" i="16" s="1"/>
  <c r="AU42" i="16"/>
  <c r="AU54" i="16" s="1"/>
  <c r="AT42" i="16"/>
  <c r="AT43" i="16" s="1"/>
  <c r="AS42" i="16"/>
  <c r="AP42" i="16"/>
  <c r="AP43" i="16" s="1"/>
  <c r="AN42" i="16"/>
  <c r="AN54" i="16" s="1"/>
  <c r="AM42" i="16"/>
  <c r="AM54" i="16" s="1"/>
  <c r="AG42" i="16"/>
  <c r="AG54" i="16" s="1"/>
  <c r="AE42" i="16"/>
  <c r="AE54" i="16" s="1"/>
  <c r="AD42" i="16"/>
  <c r="AD43" i="16" s="1"/>
  <c r="AC42" i="16"/>
  <c r="AB42" i="16"/>
  <c r="AB54" i="16" s="1"/>
  <c r="AA42" i="16"/>
  <c r="AA54" i="16" s="1"/>
  <c r="Z42" i="16"/>
  <c r="Z43" i="16" s="1"/>
  <c r="W42" i="16"/>
  <c r="W54" i="16" s="1"/>
  <c r="U42" i="16"/>
  <c r="Q42" i="16"/>
  <c r="Q54" i="16" s="1"/>
  <c r="P42" i="16"/>
  <c r="O42" i="16"/>
  <c r="O54" i="16" s="1"/>
  <c r="N42" i="16"/>
  <c r="N43" i="16" s="1"/>
  <c r="M42" i="16"/>
  <c r="L42" i="16"/>
  <c r="L54" i="16" s="1"/>
  <c r="K42" i="16"/>
  <c r="K54" i="16" s="1"/>
  <c r="J42" i="16"/>
  <c r="J43" i="16" s="1"/>
  <c r="I42" i="16"/>
  <c r="I54" i="16" s="1"/>
  <c r="H42" i="16"/>
  <c r="H54" i="16" s="1"/>
  <c r="G42" i="16"/>
  <c r="G54" i="16" s="1"/>
  <c r="F42" i="16"/>
  <c r="F43" i="16" s="1"/>
  <c r="E42" i="16"/>
  <c r="D42" i="16"/>
  <c r="D54" i="16" s="1"/>
  <c r="C42" i="16"/>
  <c r="C54" i="16" s="1"/>
  <c r="B42" i="16"/>
  <c r="B54" i="16" s="1"/>
  <c r="E35" i="16"/>
  <c r="D35" i="16"/>
  <c r="C35" i="16"/>
  <c r="O34" i="16"/>
  <c r="O33" i="16"/>
  <c r="M25" i="16"/>
  <c r="E25" i="16"/>
  <c r="B25" i="16"/>
  <c r="N24" i="16"/>
  <c r="M24" i="16"/>
  <c r="L24" i="16"/>
  <c r="K24" i="16"/>
  <c r="J24" i="16"/>
  <c r="I24" i="16"/>
  <c r="H24" i="16"/>
  <c r="G24" i="16"/>
  <c r="N23" i="16"/>
  <c r="M23" i="16"/>
  <c r="L23" i="16"/>
  <c r="K23" i="16"/>
  <c r="J23" i="16"/>
  <c r="I23" i="16"/>
  <c r="H23" i="16"/>
  <c r="G23" i="16"/>
  <c r="F23" i="16"/>
  <c r="E23" i="16"/>
  <c r="D23" i="16"/>
  <c r="C23" i="16"/>
  <c r="U51" i="16"/>
  <c r="AG51" i="16" s="1"/>
  <c r="AS51" i="16" s="1"/>
  <c r="BE51" i="16" s="1"/>
  <c r="E51" i="16"/>
  <c r="Q51" i="16" s="1"/>
  <c r="AC51" i="16" s="1"/>
  <c r="AO51" i="16" s="1"/>
  <c r="BA51" i="16" s="1"/>
  <c r="O21" i="16"/>
  <c r="U50" i="16"/>
  <c r="AG50" i="16" s="1"/>
  <c r="AS50" i="16" s="1"/>
  <c r="BE50" i="16" s="1"/>
  <c r="D50" i="16"/>
  <c r="P50" i="16" s="1"/>
  <c r="AB50" i="16" s="1"/>
  <c r="AN50" i="16" s="1"/>
  <c r="AZ50" i="16" s="1"/>
  <c r="O18" i="16"/>
  <c r="F17" i="16"/>
  <c r="E17" i="16"/>
  <c r="D17" i="16"/>
  <c r="C17" i="16"/>
  <c r="C26" i="16" s="1" a="1"/>
  <c r="B16" i="16"/>
  <c r="N13" i="16"/>
  <c r="K13" i="16"/>
  <c r="J13" i="16"/>
  <c r="E13" i="16"/>
  <c r="C13" i="16"/>
  <c r="B13" i="16"/>
  <c r="N12" i="16"/>
  <c r="N25" i="16" s="1"/>
  <c r="M12" i="16"/>
  <c r="M13" i="16" s="1"/>
  <c r="L12" i="16"/>
  <c r="L13" i="16" s="1"/>
  <c r="K12" i="16"/>
  <c r="K25" i="16" s="1"/>
  <c r="J12" i="16"/>
  <c r="J25" i="16" s="1"/>
  <c r="J26" i="16" s="1" a="1"/>
  <c r="I12" i="16"/>
  <c r="H12" i="16"/>
  <c r="H13" i="16" s="1"/>
  <c r="G12" i="16"/>
  <c r="G25" i="16" s="1"/>
  <c r="F12" i="16"/>
  <c r="F25" i="16" s="1"/>
  <c r="E12" i="16"/>
  <c r="D12" i="16"/>
  <c r="D13" i="16" s="1"/>
  <c r="C12" i="16"/>
  <c r="C25" i="16" s="1"/>
  <c r="G9" i="16"/>
  <c r="G13" i="16" s="1"/>
  <c r="O8" i="16"/>
  <c r="O7" i="16"/>
  <c r="B7" i="16"/>
  <c r="D16" i="13"/>
  <c r="E16" i="13"/>
  <c r="G16" i="13"/>
  <c r="H16" i="13"/>
  <c r="B16" i="13"/>
  <c r="B17" i="13" s="1"/>
  <c r="D16" i="12"/>
  <c r="E16" i="12"/>
  <c r="G16" i="12"/>
  <c r="H16" i="12"/>
  <c r="B16" i="12"/>
  <c r="G26" i="11"/>
  <c r="F26" i="11"/>
  <c r="E26" i="11"/>
  <c r="D26" i="11"/>
  <c r="C26" i="11"/>
  <c r="C22" i="8"/>
  <c r="D22" i="8"/>
  <c r="E22" i="8"/>
  <c r="F22" i="8"/>
  <c r="G22" i="8"/>
  <c r="B22" i="8"/>
  <c r="B31" i="8" s="1"/>
  <c r="F43" i="10"/>
  <c r="E43" i="10"/>
  <c r="D43" i="10"/>
  <c r="O64" i="9"/>
  <c r="AA64" i="9" s="1"/>
  <c r="AM64" i="9" s="1"/>
  <c r="AB64" i="9"/>
  <c r="AN64" i="9" s="1"/>
  <c r="AC64" i="9"/>
  <c r="AO64" i="9" s="1"/>
  <c r="R64" i="9"/>
  <c r="AD64" i="9" s="1"/>
  <c r="AP64" i="9" s="1"/>
  <c r="T64" i="9"/>
  <c r="AF64" i="9" s="1"/>
  <c r="AR64" i="9" s="1"/>
  <c r="U64" i="9"/>
  <c r="AG64" i="9" s="1"/>
  <c r="AS64" i="9" s="1"/>
  <c r="V64" i="9"/>
  <c r="AH64" i="9" s="1"/>
  <c r="AT64" i="9" s="1"/>
  <c r="W64" i="9"/>
  <c r="AI64" i="9" s="1"/>
  <c r="AU64" i="9" s="1"/>
  <c r="X64" i="9"/>
  <c r="AJ64" i="9" s="1"/>
  <c r="AV64" i="9" s="1"/>
  <c r="Y64" i="9"/>
  <c r="AK64" i="9" s="1"/>
  <c r="AW64" i="9" s="1"/>
  <c r="O48" i="9"/>
  <c r="AA48" i="9" s="1"/>
  <c r="AM48" i="9" s="1"/>
  <c r="AY48" i="9" s="1"/>
  <c r="P48" i="9"/>
  <c r="AB48" i="9" s="1"/>
  <c r="AN48" i="9" s="1"/>
  <c r="AZ48" i="9" s="1"/>
  <c r="Q48" i="9"/>
  <c r="AC48" i="9" s="1"/>
  <c r="AO48" i="9" s="1"/>
  <c r="BA48" i="9" s="1"/>
  <c r="R48" i="9"/>
  <c r="AD48" i="9" s="1"/>
  <c r="AP48" i="9" s="1"/>
  <c r="BB48" i="9" s="1"/>
  <c r="S48" i="9"/>
  <c r="AE48" i="9" s="1"/>
  <c r="AQ48" i="9" s="1"/>
  <c r="BC48" i="9" s="1"/>
  <c r="T48" i="9"/>
  <c r="AF48" i="9" s="1"/>
  <c r="AR48" i="9" s="1"/>
  <c r="BD48" i="9" s="1"/>
  <c r="U48" i="9"/>
  <c r="AG48" i="9" s="1"/>
  <c r="AS48" i="9" s="1"/>
  <c r="BE48" i="9" s="1"/>
  <c r="V48" i="9"/>
  <c r="AH48" i="9" s="1"/>
  <c r="AT48" i="9" s="1"/>
  <c r="BF48" i="9" s="1"/>
  <c r="W48" i="9"/>
  <c r="AI48" i="9" s="1"/>
  <c r="AU48" i="9" s="1"/>
  <c r="BG48" i="9" s="1"/>
  <c r="X48" i="9"/>
  <c r="AJ48" i="9" s="1"/>
  <c r="AV48" i="9" s="1"/>
  <c r="BH48" i="9" s="1"/>
  <c r="Y48" i="9"/>
  <c r="AK48" i="9" s="1"/>
  <c r="AW48" i="9" s="1"/>
  <c r="BI48" i="9" s="1"/>
  <c r="N48" i="9"/>
  <c r="Z48" i="9" s="1"/>
  <c r="AL48" i="9" s="1"/>
  <c r="AX48" i="9" s="1"/>
  <c r="C53" i="9"/>
  <c r="O53" i="9" s="1"/>
  <c r="AA53" i="9" s="1"/>
  <c r="AM53" i="9" s="1"/>
  <c r="AY53" i="9" s="1"/>
  <c r="D53" i="9"/>
  <c r="P53" i="9" s="1"/>
  <c r="AB53" i="9" s="1"/>
  <c r="AN53" i="9" s="1"/>
  <c r="AZ53" i="9" s="1"/>
  <c r="F53" i="9"/>
  <c r="R53" i="9" s="1"/>
  <c r="AD53" i="9" s="1"/>
  <c r="AP53" i="9" s="1"/>
  <c r="BB53" i="9" s="1"/>
  <c r="H53" i="9"/>
  <c r="T53" i="9" s="1"/>
  <c r="AF53" i="9" s="1"/>
  <c r="AR53" i="9" s="1"/>
  <c r="BD53" i="9" s="1"/>
  <c r="J53" i="9"/>
  <c r="V53" i="9" s="1"/>
  <c r="AH53" i="9" s="1"/>
  <c r="AT53" i="9" s="1"/>
  <c r="BF53" i="9" s="1"/>
  <c r="K53" i="9"/>
  <c r="W53" i="9" s="1"/>
  <c r="AI53" i="9" s="1"/>
  <c r="AU53" i="9" s="1"/>
  <c r="BG53" i="9" s="1"/>
  <c r="L53" i="9"/>
  <c r="X53" i="9" s="1"/>
  <c r="AJ53" i="9" s="1"/>
  <c r="AV53" i="9" s="1"/>
  <c r="BH53" i="9" s="1"/>
  <c r="M53" i="9"/>
  <c r="Y53" i="9" s="1"/>
  <c r="AK53" i="9" s="1"/>
  <c r="AW53" i="9" s="1"/>
  <c r="BI53" i="9" s="1"/>
  <c r="B53" i="9"/>
  <c r="N53" i="9" s="1"/>
  <c r="Z53" i="9" s="1"/>
  <c r="AL53" i="9" s="1"/>
  <c r="AX53" i="9" s="1"/>
  <c r="B52" i="9"/>
  <c r="N52" i="9" s="1"/>
  <c r="Z52" i="9" s="1"/>
  <c r="AL52" i="9" s="1"/>
  <c r="AX52" i="9" s="1"/>
  <c r="C52" i="9"/>
  <c r="O52" i="9" s="1"/>
  <c r="AA52" i="9" s="1"/>
  <c r="AM52" i="9" s="1"/>
  <c r="AY52" i="9" s="1"/>
  <c r="E52" i="9"/>
  <c r="Q52" i="9" s="1"/>
  <c r="AC52" i="9" s="1"/>
  <c r="AO52" i="9" s="1"/>
  <c r="BA52" i="9" s="1"/>
  <c r="G52" i="9"/>
  <c r="S52" i="9" s="1"/>
  <c r="AE52" i="9" s="1"/>
  <c r="AQ52" i="9" s="1"/>
  <c r="BC52" i="9" s="1"/>
  <c r="H52" i="9"/>
  <c r="T52" i="9" s="1"/>
  <c r="AF52" i="9" s="1"/>
  <c r="AR52" i="9" s="1"/>
  <c r="BD52" i="9" s="1"/>
  <c r="J52" i="9"/>
  <c r="V52" i="9" s="1"/>
  <c r="AH52" i="9" s="1"/>
  <c r="AT52" i="9" s="1"/>
  <c r="BF52" i="9" s="1"/>
  <c r="K52" i="9"/>
  <c r="W52" i="9" s="1"/>
  <c r="AI52" i="9" s="1"/>
  <c r="AU52" i="9" s="1"/>
  <c r="BG52" i="9" s="1"/>
  <c r="L52" i="9"/>
  <c r="X52" i="9" s="1"/>
  <c r="AJ52" i="9" s="1"/>
  <c r="AV52" i="9" s="1"/>
  <c r="BH52" i="9" s="1"/>
  <c r="M52" i="9"/>
  <c r="Y52" i="9" s="1"/>
  <c r="AK52" i="9" s="1"/>
  <c r="AW52" i="9" s="1"/>
  <c r="BI52" i="9" s="1"/>
  <c r="D17" i="9"/>
  <c r="E17" i="9"/>
  <c r="F17" i="9"/>
  <c r="C17" i="9"/>
  <c r="G9" i="9"/>
  <c r="H61" i="15"/>
  <c r="G61" i="15"/>
  <c r="F61" i="15"/>
  <c r="E61" i="15"/>
  <c r="H55" i="15"/>
  <c r="G55" i="15"/>
  <c r="F55" i="15"/>
  <c r="E55" i="15"/>
  <c r="H41" i="15"/>
  <c r="G41" i="15"/>
  <c r="F41" i="15"/>
  <c r="E41" i="15"/>
  <c r="H27" i="15"/>
  <c r="H63" i="15" s="1"/>
  <c r="G27" i="15"/>
  <c r="F27" i="15"/>
  <c r="E27" i="15"/>
  <c r="H13" i="15"/>
  <c r="G13" i="15"/>
  <c r="G63" i="15" s="1"/>
  <c r="F13" i="15"/>
  <c r="F63" i="15" s="1"/>
  <c r="E13" i="15"/>
  <c r="E63" i="15" s="1"/>
  <c r="B25" i="7"/>
  <c r="B32" i="7" s="1"/>
  <c r="L10" i="1"/>
  <c r="B13" i="7"/>
  <c r="L24" i="1"/>
  <c r="L23" i="1"/>
  <c r="L9" i="1"/>
  <c r="L8" i="1"/>
  <c r="L7" i="1"/>
  <c r="B10" i="6"/>
  <c r="B30" i="6"/>
  <c r="B35" i="6" s="1"/>
  <c r="B7" i="6"/>
  <c r="C44" i="6" s="1"/>
  <c r="D26" i="6"/>
  <c r="D38" i="6" s="1"/>
  <c r="B26" i="6"/>
  <c r="B38" i="6" s="1"/>
  <c r="C26" i="6"/>
  <c r="C38" i="6" s="1"/>
  <c r="D36" i="6"/>
  <c r="C36" i="6"/>
  <c r="C35" i="6"/>
  <c r="D35" i="6"/>
  <c r="C34" i="6"/>
  <c r="D34" i="6"/>
  <c r="C33" i="6"/>
  <c r="D33" i="6"/>
  <c r="B33" i="6"/>
  <c r="C32" i="6"/>
  <c r="D32" i="6"/>
  <c r="B32" i="6"/>
  <c r="C31" i="6"/>
  <c r="D31" i="6"/>
  <c r="B31" i="6"/>
  <c r="B15" i="6"/>
  <c r="B14" i="6"/>
  <c r="B13" i="6"/>
  <c r="B12" i="6"/>
  <c r="B11" i="6"/>
  <c r="N37" i="3"/>
  <c r="J37" i="3"/>
  <c r="M35" i="3"/>
  <c r="G35" i="3"/>
  <c r="I12" i="3"/>
  <c r="K12" i="3"/>
  <c r="M12" i="3"/>
  <c r="O12" i="3"/>
  <c r="Q12" i="3"/>
  <c r="G12" i="3"/>
  <c r="H11" i="3"/>
  <c r="I11" i="3"/>
  <c r="J11" i="3"/>
  <c r="K11" i="3"/>
  <c r="L11" i="3"/>
  <c r="M11" i="3"/>
  <c r="N11" i="3"/>
  <c r="O11" i="3"/>
  <c r="P11" i="3"/>
  <c r="Q11" i="3"/>
  <c r="R11" i="3"/>
  <c r="G11" i="3"/>
  <c r="H10" i="3"/>
  <c r="I10" i="3"/>
  <c r="J10" i="3"/>
  <c r="K10" i="3"/>
  <c r="L10" i="3"/>
  <c r="M10" i="3"/>
  <c r="N10" i="3"/>
  <c r="O10" i="3"/>
  <c r="P10" i="3"/>
  <c r="Q10" i="3"/>
  <c r="R10" i="3"/>
  <c r="G10" i="3"/>
  <c r="H9" i="3"/>
  <c r="I9" i="3"/>
  <c r="G9" i="3"/>
  <c r="P8" i="3"/>
  <c r="Q8" i="3"/>
  <c r="R8" i="3"/>
  <c r="O8" i="3"/>
  <c r="H8" i="3"/>
  <c r="I8" i="3"/>
  <c r="J8" i="3"/>
  <c r="K8" i="3"/>
  <c r="L8" i="3"/>
  <c r="G8" i="3"/>
  <c r="G31" i="12"/>
  <c r="D31" i="12"/>
  <c r="H25" i="12"/>
  <c r="G25" i="12"/>
  <c r="F25" i="12"/>
  <c r="E25" i="12"/>
  <c r="E31" i="12" s="1"/>
  <c r="D25" i="12"/>
  <c r="C25" i="12"/>
  <c r="C31" i="12" s="1"/>
  <c r="B25" i="12"/>
  <c r="B44" i="11"/>
  <c r="H43" i="11"/>
  <c r="G43" i="11"/>
  <c r="F43" i="11"/>
  <c r="B43" i="11"/>
  <c r="E43" i="11"/>
  <c r="D43" i="11"/>
  <c r="C43" i="11"/>
  <c r="H9" i="11"/>
  <c r="G9" i="11"/>
  <c r="F9" i="11"/>
  <c r="E9" i="11"/>
  <c r="D9" i="11"/>
  <c r="C9" i="11"/>
  <c r="B9" i="11"/>
  <c r="B12" i="10"/>
  <c r="BI68" i="9"/>
  <c r="M68" i="9"/>
  <c r="BI67" i="9"/>
  <c r="M67" i="9"/>
  <c r="AR65" i="9"/>
  <c r="AQ65" i="9"/>
  <c r="AL65" i="9"/>
  <c r="AI65" i="9"/>
  <c r="Y65" i="9"/>
  <c r="AK65" i="9" s="1"/>
  <c r="X65" i="9"/>
  <c r="AJ65" i="9" s="1"/>
  <c r="V65" i="9"/>
  <c r="AH65" i="9" s="1"/>
  <c r="T65" i="9"/>
  <c r="S65" i="9"/>
  <c r="R65" i="9"/>
  <c r="N64" i="9"/>
  <c r="C36" i="9"/>
  <c r="D36" i="9" s="1"/>
  <c r="E36" i="9" s="1"/>
  <c r="F36" i="9" s="1"/>
  <c r="G36" i="9" s="1"/>
  <c r="H36" i="9" s="1"/>
  <c r="I36" i="9" s="1"/>
  <c r="J36" i="9" s="1"/>
  <c r="K36" i="9" s="1"/>
  <c r="L36" i="9" s="1"/>
  <c r="M36" i="9" s="1"/>
  <c r="N36" i="9" s="1"/>
  <c r="B66" i="9" s="1"/>
  <c r="C66" i="9" s="1"/>
  <c r="D66" i="9" s="1"/>
  <c r="E66" i="9" s="1"/>
  <c r="F66" i="9" s="1"/>
  <c r="G66" i="9" s="1"/>
  <c r="H66" i="9" s="1"/>
  <c r="I66" i="9" s="1"/>
  <c r="J66" i="9" s="1"/>
  <c r="K66" i="9" s="1"/>
  <c r="L66" i="9" s="1"/>
  <c r="M66" i="9" s="1"/>
  <c r="D38" i="10" s="1"/>
  <c r="O35" i="9"/>
  <c r="O34" i="9"/>
  <c r="B26" i="9"/>
  <c r="O18" i="9"/>
  <c r="B16" i="9"/>
  <c r="O8" i="9"/>
  <c r="H20" i="8"/>
  <c r="G20" i="8"/>
  <c r="F20" i="8"/>
  <c r="E20" i="8"/>
  <c r="D20" i="8"/>
  <c r="C20" i="8"/>
  <c r="B20" i="8"/>
  <c r="E17" i="8"/>
  <c r="D17" i="8"/>
  <c r="C17" i="8"/>
  <c r="B17" i="8"/>
  <c r="A4" i="8" a="1"/>
  <c r="C4" i="8" s="1"/>
  <c r="D7" i="7"/>
  <c r="C7" i="7"/>
  <c r="B9" i="1" s="1"/>
  <c r="B7" i="9" s="1"/>
  <c r="B7" i="7"/>
  <c r="B23" i="7" s="1"/>
  <c r="C47" i="6"/>
  <c r="C46" i="6"/>
  <c r="C45" i="6"/>
  <c r="D37" i="6"/>
  <c r="C37" i="6"/>
  <c r="B37" i="6"/>
  <c r="B26" i="4"/>
  <c r="D37" i="3"/>
  <c r="D35" i="3"/>
  <c r="D29" i="3"/>
  <c r="D53" i="3" s="1"/>
  <c r="R28" i="3"/>
  <c r="Q28" i="3"/>
  <c r="P28" i="3"/>
  <c r="O28" i="3"/>
  <c r="N28" i="3"/>
  <c r="M28" i="3"/>
  <c r="L28" i="3"/>
  <c r="K28" i="3"/>
  <c r="J28" i="3"/>
  <c r="I28" i="3"/>
  <c r="H28" i="3"/>
  <c r="G28" i="3"/>
  <c r="R27" i="3"/>
  <c r="Q27" i="3"/>
  <c r="P27" i="3"/>
  <c r="O27" i="3"/>
  <c r="N27" i="3"/>
  <c r="M27" i="3"/>
  <c r="L27" i="3"/>
  <c r="K27" i="3"/>
  <c r="J27" i="3"/>
  <c r="I27" i="3"/>
  <c r="H27" i="3"/>
  <c r="G27" i="3"/>
  <c r="R26" i="3"/>
  <c r="Q26" i="3"/>
  <c r="P26" i="3"/>
  <c r="O26" i="3"/>
  <c r="N26" i="3"/>
  <c r="M26" i="3"/>
  <c r="L26" i="3"/>
  <c r="K26" i="3"/>
  <c r="J26" i="3"/>
  <c r="I26" i="3"/>
  <c r="H26" i="3"/>
  <c r="G26" i="3"/>
  <c r="R25" i="3"/>
  <c r="Q25" i="3"/>
  <c r="P25" i="3"/>
  <c r="O25" i="3"/>
  <c r="N25" i="3"/>
  <c r="M25" i="3"/>
  <c r="L25" i="3"/>
  <c r="K25" i="3"/>
  <c r="J25" i="3"/>
  <c r="I25" i="3"/>
  <c r="H25" i="3"/>
  <c r="G25" i="3"/>
  <c r="R24" i="3"/>
  <c r="Q24" i="3"/>
  <c r="P24" i="3"/>
  <c r="O24" i="3"/>
  <c r="N24" i="3"/>
  <c r="M24" i="3"/>
  <c r="L24" i="3"/>
  <c r="K24" i="3"/>
  <c r="J24" i="3"/>
  <c r="I24" i="3"/>
  <c r="H24" i="3"/>
  <c r="G24" i="3"/>
  <c r="R23" i="3"/>
  <c r="Q23" i="3"/>
  <c r="P23" i="3"/>
  <c r="O23" i="3"/>
  <c r="N23" i="3"/>
  <c r="M23" i="3"/>
  <c r="L23" i="3"/>
  <c r="K23" i="3"/>
  <c r="J23" i="3"/>
  <c r="I23" i="3"/>
  <c r="H23" i="3"/>
  <c r="G23" i="3"/>
  <c r="R22" i="3"/>
  <c r="Q22" i="3"/>
  <c r="P22" i="3"/>
  <c r="O22" i="3"/>
  <c r="N22" i="3"/>
  <c r="M22" i="3"/>
  <c r="L22" i="3"/>
  <c r="K22" i="3"/>
  <c r="J22" i="3"/>
  <c r="I22" i="3"/>
  <c r="H22" i="3"/>
  <c r="G22" i="3"/>
  <c r="R21" i="3"/>
  <c r="Q21" i="3"/>
  <c r="P21" i="3"/>
  <c r="O21" i="3"/>
  <c r="N21" i="3"/>
  <c r="M21" i="3"/>
  <c r="L21" i="3"/>
  <c r="K21" i="3"/>
  <c r="J21" i="3"/>
  <c r="I21" i="3"/>
  <c r="H21" i="3"/>
  <c r="G21" i="3"/>
  <c r="R20" i="3"/>
  <c r="Q20" i="3"/>
  <c r="P20" i="3"/>
  <c r="O20" i="3"/>
  <c r="N20" i="3"/>
  <c r="M20" i="3"/>
  <c r="L20" i="3"/>
  <c r="K20" i="3"/>
  <c r="J20" i="3"/>
  <c r="I20" i="3"/>
  <c r="H20" i="3"/>
  <c r="G20" i="3"/>
  <c r="R19" i="3"/>
  <c r="Q19" i="3"/>
  <c r="P19" i="3"/>
  <c r="O19" i="3"/>
  <c r="N19" i="3"/>
  <c r="M19" i="3"/>
  <c r="L19" i="3"/>
  <c r="K19" i="3"/>
  <c r="J19" i="3"/>
  <c r="I19" i="3"/>
  <c r="H19" i="3"/>
  <c r="G19" i="3"/>
  <c r="R18" i="3"/>
  <c r="Q18" i="3"/>
  <c r="P18" i="3"/>
  <c r="O18" i="3"/>
  <c r="N18" i="3"/>
  <c r="M18" i="3"/>
  <c r="L18" i="3"/>
  <c r="K18" i="3"/>
  <c r="J18" i="3"/>
  <c r="I18" i="3"/>
  <c r="H18" i="3"/>
  <c r="G18" i="3"/>
  <c r="R17" i="3"/>
  <c r="Q17" i="3"/>
  <c r="P17" i="3"/>
  <c r="O17" i="3"/>
  <c r="N17" i="3"/>
  <c r="M17" i="3"/>
  <c r="L17" i="3"/>
  <c r="K17" i="3"/>
  <c r="J17" i="3"/>
  <c r="I17" i="3"/>
  <c r="H17" i="3"/>
  <c r="G17" i="3"/>
  <c r="D13" i="3"/>
  <c r="L15" i="1" s="1"/>
  <c r="B9" i="2"/>
  <c r="L22" i="1"/>
  <c r="F15" i="1"/>
  <c r="E15" i="1"/>
  <c r="D15" i="1"/>
  <c r="C15" i="1"/>
  <c r="D11" i="4" l="1"/>
  <c r="B20" i="4" s="1"/>
  <c r="C31" i="19"/>
  <c r="G12" i="19"/>
  <c r="D31" i="8"/>
  <c r="D12" i="19"/>
  <c r="H24" i="17"/>
  <c r="H36" i="17"/>
  <c r="I36" i="17" s="1"/>
  <c r="J36" i="17" s="1"/>
  <c r="K36" i="17" s="1"/>
  <c r="L36" i="17" s="1"/>
  <c r="M36" i="17" s="1"/>
  <c r="N36" i="17" s="1"/>
  <c r="B66" i="17" s="1"/>
  <c r="C66" i="17" s="1"/>
  <c r="D66" i="17" s="1"/>
  <c r="E66" i="17" s="1"/>
  <c r="F66" i="17" s="1"/>
  <c r="G66" i="17" s="1"/>
  <c r="H66" i="17" s="1"/>
  <c r="I66" i="17" s="1"/>
  <c r="J66" i="17" s="1"/>
  <c r="K66" i="17" s="1"/>
  <c r="L66" i="17" s="1"/>
  <c r="M66" i="17" s="1"/>
  <c r="N66" i="17" s="1"/>
  <c r="O66" i="17" s="1"/>
  <c r="P66" i="17" s="1"/>
  <c r="Q66" i="17" s="1"/>
  <c r="R66" i="17" s="1"/>
  <c r="S66" i="17" s="1"/>
  <c r="T66" i="17" s="1"/>
  <c r="U66" i="17" s="1"/>
  <c r="V66" i="17" s="1"/>
  <c r="W66" i="17" s="1"/>
  <c r="X66" i="17" s="1"/>
  <c r="Y66" i="17" s="1"/>
  <c r="Z66" i="17" s="1"/>
  <c r="O24" i="17"/>
  <c r="H12" i="17"/>
  <c r="H13" i="17" s="1"/>
  <c r="M67" i="17"/>
  <c r="AE56" i="17"/>
  <c r="AE44" i="17"/>
  <c r="BC56" i="17"/>
  <c r="BC44" i="17"/>
  <c r="BE50" i="17"/>
  <c r="BF50" i="17"/>
  <c r="BD50" i="17"/>
  <c r="BD57" i="17" s="1"/>
  <c r="BD58" i="17" s="1"/>
  <c r="BC50" i="17"/>
  <c r="BC57" i="17" s="1"/>
  <c r="BC58" i="17" s="1"/>
  <c r="BC60" i="17" s="1"/>
  <c r="BB50" i="17"/>
  <c r="BG50" i="17"/>
  <c r="BI50" i="17"/>
  <c r="BA50" i="17"/>
  <c r="BH50" i="17"/>
  <c r="AZ50" i="17"/>
  <c r="AY50" i="17"/>
  <c r="AY57" i="17" s="1"/>
  <c r="AY58" i="17" s="1"/>
  <c r="AX50" i="17"/>
  <c r="V50" i="17"/>
  <c r="P50" i="17"/>
  <c r="W50" i="17"/>
  <c r="AU56" i="17"/>
  <c r="AU44" i="17"/>
  <c r="W56" i="17"/>
  <c r="W57" i="17" s="1"/>
  <c r="W58" i="17" s="1"/>
  <c r="W60" i="17" s="1"/>
  <c r="W44" i="17"/>
  <c r="AK50" i="17"/>
  <c r="AJ50" i="17"/>
  <c r="AC50" i="17"/>
  <c r="AB50" i="17"/>
  <c r="AA50" i="17"/>
  <c r="O43" i="17"/>
  <c r="AM43" i="17"/>
  <c r="F44" i="17"/>
  <c r="AB44" i="17"/>
  <c r="AD44" i="17"/>
  <c r="AK68" i="17"/>
  <c r="L44" i="17"/>
  <c r="BB44" i="17"/>
  <c r="AX43" i="17"/>
  <c r="AX44" i="17" s="1"/>
  <c r="N44" i="17"/>
  <c r="AJ44" i="17"/>
  <c r="AL56" i="17"/>
  <c r="BH44" i="17"/>
  <c r="AT44" i="17"/>
  <c r="T44" i="17"/>
  <c r="X50" i="17"/>
  <c r="X57" i="17" s="1"/>
  <c r="X58" i="17" s="1"/>
  <c r="O50" i="17"/>
  <c r="Q50" i="17"/>
  <c r="Q57" i="17" s="1"/>
  <c r="Q58" i="17" s="1"/>
  <c r="Y50" i="17"/>
  <c r="Y57" i="17" s="1"/>
  <c r="Y58" i="17" s="1"/>
  <c r="R50" i="17"/>
  <c r="S50" i="17"/>
  <c r="T50" i="17"/>
  <c r="T57" i="17" s="1"/>
  <c r="T58" i="17" s="1"/>
  <c r="T60" i="17" s="1"/>
  <c r="U50" i="17"/>
  <c r="N50" i="17"/>
  <c r="D26" i="17"/>
  <c r="H26" i="17"/>
  <c r="J13" i="17"/>
  <c r="J26" i="17"/>
  <c r="E13" i="17"/>
  <c r="G13" i="17"/>
  <c r="L26" i="17"/>
  <c r="H27" i="17"/>
  <c r="J27" i="17"/>
  <c r="J28" i="17" s="1"/>
  <c r="M13" i="17"/>
  <c r="E50" i="17"/>
  <c r="K57" i="17"/>
  <c r="BG57" i="17"/>
  <c r="BG58" i="17" s="1"/>
  <c r="B30" i="17"/>
  <c r="B31" i="17" s="1"/>
  <c r="S53" i="17"/>
  <c r="AE53" i="17" s="1"/>
  <c r="AQ53" i="17" s="1"/>
  <c r="BC53" i="17" s="1"/>
  <c r="Q53" i="17"/>
  <c r="AC53" i="17" s="1"/>
  <c r="AO53" i="17" s="1"/>
  <c r="BA53" i="17" s="1"/>
  <c r="AI49" i="17"/>
  <c r="AU49" i="17" s="1"/>
  <c r="BG49" i="17" s="1"/>
  <c r="AP50" i="17"/>
  <c r="AW50" i="17"/>
  <c r="AO50" i="17"/>
  <c r="AO57" i="17" s="1"/>
  <c r="AV50" i="17"/>
  <c r="AN50" i="17"/>
  <c r="AU50" i="17"/>
  <c r="AM50" i="17"/>
  <c r="AT50" i="17"/>
  <c r="AL50" i="17"/>
  <c r="AS50" i="17"/>
  <c r="AR50" i="17"/>
  <c r="AQ50" i="17"/>
  <c r="P57" i="17"/>
  <c r="P58" i="17" s="1"/>
  <c r="AN57" i="17"/>
  <c r="AN58" i="17" s="1"/>
  <c r="AV57" i="17"/>
  <c r="AV58" i="17" s="1"/>
  <c r="Z54" i="17"/>
  <c r="Z57" i="17" s="1"/>
  <c r="F13" i="17"/>
  <c r="N13" i="17"/>
  <c r="O17" i="17"/>
  <c r="I26" i="17"/>
  <c r="I27" i="17" s="1" a="1"/>
  <c r="I27" i="17" s="1"/>
  <c r="I28" i="17" s="1"/>
  <c r="I30" i="17" s="1"/>
  <c r="H28" i="17"/>
  <c r="H30" i="17" s="1"/>
  <c r="E44" i="17"/>
  <c r="M44" i="17"/>
  <c r="U44" i="17"/>
  <c r="AC44" i="17"/>
  <c r="AK44" i="17"/>
  <c r="AS44" i="17"/>
  <c r="BA44" i="17"/>
  <c r="BI44" i="17"/>
  <c r="BE57" i="17"/>
  <c r="BE58" i="17" s="1"/>
  <c r="C50" i="17"/>
  <c r="C57" i="17" s="1"/>
  <c r="C58" i="17" s="1"/>
  <c r="N27" i="17" a="1"/>
  <c r="N27" i="17" s="1"/>
  <c r="N28" i="17" s="1"/>
  <c r="O54" i="17"/>
  <c r="G27" i="17" a="1"/>
  <c r="G27" i="17" s="1"/>
  <c r="G28" i="17" s="1"/>
  <c r="K27" i="17" a="1"/>
  <c r="K27" i="17" s="1"/>
  <c r="K28" i="17" s="1"/>
  <c r="M69" i="17"/>
  <c r="B56" i="17"/>
  <c r="AK69" i="17"/>
  <c r="Z56" i="17"/>
  <c r="AX56" i="17"/>
  <c r="R57" i="17"/>
  <c r="R58" i="17" s="1"/>
  <c r="BF57" i="17"/>
  <c r="BF58" i="17" s="1"/>
  <c r="D50" i="17"/>
  <c r="D57" i="17" s="1"/>
  <c r="D58" i="17" s="1"/>
  <c r="D60" i="17" s="1"/>
  <c r="K58" i="17"/>
  <c r="O12" i="17"/>
  <c r="O16" i="17"/>
  <c r="D27" i="17" a="1"/>
  <c r="L27" i="17" a="1"/>
  <c r="H44" i="17"/>
  <c r="P44" i="17"/>
  <c r="X44" i="17"/>
  <c r="AF44" i="17"/>
  <c r="AN44" i="17"/>
  <c r="AV44" i="17"/>
  <c r="BD44" i="17"/>
  <c r="AB57" i="17"/>
  <c r="AB58" i="17" s="1"/>
  <c r="AJ57" i="17"/>
  <c r="AJ58" i="17" s="1"/>
  <c r="AZ57" i="17"/>
  <c r="AZ58" i="17" s="1"/>
  <c r="AZ60" i="17" s="1"/>
  <c r="BH57" i="17"/>
  <c r="BH58" i="17" s="1"/>
  <c r="BH60" i="17" s="1"/>
  <c r="AH50" i="17"/>
  <c r="Z50" i="17"/>
  <c r="AG50" i="17"/>
  <c r="AG57" i="17" s="1"/>
  <c r="AF50" i="17"/>
  <c r="AF57" i="17" s="1"/>
  <c r="AE50" i="17"/>
  <c r="AE57" i="17" s="1"/>
  <c r="AD50" i="17"/>
  <c r="O19" i="17"/>
  <c r="J50" i="17"/>
  <c r="J57" i="17" s="1"/>
  <c r="B50" i="17"/>
  <c r="B57" i="17" s="1"/>
  <c r="I50" i="17"/>
  <c r="I57" i="17" s="1"/>
  <c r="H50" i="17"/>
  <c r="G50" i="17"/>
  <c r="G57" i="17" s="1"/>
  <c r="F50" i="17"/>
  <c r="F57" i="17" s="1"/>
  <c r="F58" i="17" s="1"/>
  <c r="I44" i="17"/>
  <c r="Q44" i="17"/>
  <c r="Y44" i="17"/>
  <c r="AG44" i="17"/>
  <c r="AO44" i="17"/>
  <c r="AW44" i="17"/>
  <c r="BE44" i="17"/>
  <c r="U57" i="17"/>
  <c r="U58" i="17" s="1"/>
  <c r="AC57" i="17"/>
  <c r="AC58" i="17" s="1"/>
  <c r="BA57" i="17"/>
  <c r="BA58" i="17" s="1"/>
  <c r="BI57" i="17"/>
  <c r="BI58" i="17" s="1"/>
  <c r="L50" i="17"/>
  <c r="F27" i="17" a="1"/>
  <c r="F27" i="17" s="1"/>
  <c r="F28" i="17" s="1"/>
  <c r="C26" i="17"/>
  <c r="S57" i="17"/>
  <c r="S58" i="17" s="1"/>
  <c r="K13" i="17"/>
  <c r="O21" i="17"/>
  <c r="E27" i="17" a="1"/>
  <c r="E27" i="17" s="1"/>
  <c r="E28" i="17" s="1"/>
  <c r="M27" i="17" a="1"/>
  <c r="M27" i="17" s="1"/>
  <c r="M28" i="17" s="1"/>
  <c r="B44" i="17"/>
  <c r="J44" i="17"/>
  <c r="R44" i="17"/>
  <c r="Z44" i="17"/>
  <c r="AH44" i="17"/>
  <c r="AP44" i="17"/>
  <c r="BF44" i="17"/>
  <c r="V57" i="17"/>
  <c r="V58" i="17" s="1"/>
  <c r="V60" i="17" s="1"/>
  <c r="BB57" i="17"/>
  <c r="BB58" i="17" s="1"/>
  <c r="BB60" i="17" s="1"/>
  <c r="M50" i="17"/>
  <c r="AI50" i="17"/>
  <c r="AQ57" i="17"/>
  <c r="AQ58" i="17" s="1"/>
  <c r="AH54" i="17"/>
  <c r="AT54" i="17"/>
  <c r="C44" i="17"/>
  <c r="K44" i="17"/>
  <c r="S44" i="17"/>
  <c r="AA44" i="17"/>
  <c r="AI44" i="17"/>
  <c r="AQ44" i="17"/>
  <c r="AY44" i="17"/>
  <c r="BG44" i="17"/>
  <c r="AU57" i="17"/>
  <c r="Y67" i="17"/>
  <c r="N54" i="17"/>
  <c r="AS54" i="17"/>
  <c r="N13" i="3"/>
  <c r="R13" i="3"/>
  <c r="E23" i="13"/>
  <c r="J13" i="3"/>
  <c r="J52" i="3" s="1"/>
  <c r="Q13" i="3"/>
  <c r="Q52" i="3" s="1"/>
  <c r="H29" i="3"/>
  <c r="D20" i="16" s="1"/>
  <c r="C49" i="16" s="1"/>
  <c r="O49" i="16" s="1"/>
  <c r="AA49" i="16" s="1"/>
  <c r="AM49" i="16" s="1"/>
  <c r="AY49" i="16" s="1"/>
  <c r="P29" i="3"/>
  <c r="L20" i="16" s="1"/>
  <c r="K49" i="16" s="1"/>
  <c r="W49" i="16" s="1"/>
  <c r="AI49" i="16" s="1"/>
  <c r="AU49" i="16" s="1"/>
  <c r="BG49" i="16" s="1"/>
  <c r="L13" i="3"/>
  <c r="L52" i="3" s="1"/>
  <c r="P13" i="3"/>
  <c r="L19" i="16" s="1"/>
  <c r="K48" i="16" s="1"/>
  <c r="W48" i="16" s="1"/>
  <c r="AI48" i="16" s="1"/>
  <c r="AU48" i="16" s="1"/>
  <c r="BG48" i="16" s="1"/>
  <c r="L19" i="9"/>
  <c r="K49" i="9" s="1"/>
  <c r="W49" i="9" s="1"/>
  <c r="AI49" i="9" s="1"/>
  <c r="AU49" i="9" s="1"/>
  <c r="BG49" i="9" s="1"/>
  <c r="J19" i="16"/>
  <c r="I48" i="16" s="1"/>
  <c r="U48" i="16" s="1"/>
  <c r="AG48" i="16" s="1"/>
  <c r="AS48" i="16" s="1"/>
  <c r="BE48" i="16" s="1"/>
  <c r="N52" i="3"/>
  <c r="J19" i="9"/>
  <c r="I49" i="9" s="1"/>
  <c r="U49" i="9" s="1"/>
  <c r="AG49" i="9" s="1"/>
  <c r="AS49" i="9" s="1"/>
  <c r="BE49" i="9" s="1"/>
  <c r="R52" i="3"/>
  <c r="N19" i="9"/>
  <c r="M49" i="9" s="1"/>
  <c r="Y49" i="9" s="1"/>
  <c r="AK49" i="9" s="1"/>
  <c r="AW49" i="9" s="1"/>
  <c r="BI49" i="9" s="1"/>
  <c r="N19" i="16"/>
  <c r="M48" i="16" s="1"/>
  <c r="Y48" i="16" s="1"/>
  <c r="AK48" i="16" s="1"/>
  <c r="AW48" i="16" s="1"/>
  <c r="BI48" i="16" s="1"/>
  <c r="B19" i="16"/>
  <c r="Q53" i="9"/>
  <c r="AC53" i="9" s="1"/>
  <c r="AO53" i="9" s="1"/>
  <c r="BA53" i="9" s="1"/>
  <c r="D21" i="9"/>
  <c r="C51" i="9" s="1"/>
  <c r="O51" i="9" s="1"/>
  <c r="AA51" i="9" s="1"/>
  <c r="AM51" i="9" s="1"/>
  <c r="AY51" i="9" s="1"/>
  <c r="C38" i="10"/>
  <c r="Z64" i="9"/>
  <c r="BI66" i="16"/>
  <c r="H19" i="13" s="1"/>
  <c r="BI65" i="16"/>
  <c r="AX42" i="16"/>
  <c r="AX54" i="16" s="1"/>
  <c r="AQ42" i="16"/>
  <c r="AQ43" i="16" s="1"/>
  <c r="AU52" i="16"/>
  <c r="AI52" i="16"/>
  <c r="AV52" i="16"/>
  <c r="AJ52" i="16"/>
  <c r="U52" i="16"/>
  <c r="W52" i="16"/>
  <c r="Y52" i="16"/>
  <c r="AN52" i="16"/>
  <c r="AB52" i="16"/>
  <c r="AZ43" i="16"/>
  <c r="X42" i="16"/>
  <c r="X54" i="16" s="1"/>
  <c r="Y42" i="16"/>
  <c r="Y54" i="16" s="1"/>
  <c r="AP54" i="16"/>
  <c r="AW66" i="16"/>
  <c r="G19" i="13" s="1"/>
  <c r="AI54" i="16"/>
  <c r="AI43" i="16"/>
  <c r="H43" i="16"/>
  <c r="I43" i="16"/>
  <c r="AK66" i="16"/>
  <c r="F19" i="13" s="1"/>
  <c r="AL42" i="16"/>
  <c r="AL54" i="16" s="1"/>
  <c r="AG43" i="16"/>
  <c r="F13" i="16"/>
  <c r="E64" i="16"/>
  <c r="F64" i="16" s="1"/>
  <c r="G64" i="16" s="1"/>
  <c r="H64" i="16" s="1"/>
  <c r="I64" i="16" s="1"/>
  <c r="J64" i="16" s="1"/>
  <c r="K64" i="16" s="1"/>
  <c r="L64" i="16" s="1"/>
  <c r="M64" i="16" s="1"/>
  <c r="N64" i="16" s="1"/>
  <c r="O64" i="16" s="1"/>
  <c r="P64" i="16" s="1"/>
  <c r="Q64" i="16" s="1"/>
  <c r="R64" i="16" s="1"/>
  <c r="S64" i="16" s="1"/>
  <c r="T64" i="16" s="1"/>
  <c r="U64" i="16" s="1"/>
  <c r="V64" i="16" s="1"/>
  <c r="W64" i="16" s="1"/>
  <c r="X64" i="16" s="1"/>
  <c r="Y64" i="16" s="1"/>
  <c r="Z64" i="16" s="1"/>
  <c r="AA64" i="16" s="1"/>
  <c r="AB64" i="16" s="1"/>
  <c r="AC64" i="16" s="1"/>
  <c r="AD64" i="16" s="1"/>
  <c r="L25" i="16"/>
  <c r="T54" i="16"/>
  <c r="T43" i="16"/>
  <c r="AJ54" i="16"/>
  <c r="AJ43" i="16"/>
  <c r="BD43" i="16"/>
  <c r="K43" i="16"/>
  <c r="BE43" i="16"/>
  <c r="F54" i="16"/>
  <c r="AT54" i="16"/>
  <c r="AH42" i="16"/>
  <c r="AH54" i="16" s="1"/>
  <c r="Q43" i="16"/>
  <c r="AN43" i="16"/>
  <c r="BG43" i="16"/>
  <c r="J54" i="16"/>
  <c r="BB54" i="16"/>
  <c r="AO43" i="16"/>
  <c r="N54" i="16"/>
  <c r="BF54" i="16"/>
  <c r="AW43" i="16"/>
  <c r="Z54" i="16"/>
  <c r="V42" i="16"/>
  <c r="C43" i="16"/>
  <c r="AA43" i="16"/>
  <c r="AY43" i="16"/>
  <c r="AD54" i="16"/>
  <c r="AS54" i="16"/>
  <c r="AS43" i="16"/>
  <c r="K26" i="16" a="1"/>
  <c r="D43" i="16"/>
  <c r="AX47" i="16"/>
  <c r="S52" i="16"/>
  <c r="AM52" i="16"/>
  <c r="AA52" i="16"/>
  <c r="AK54" i="16"/>
  <c r="AK43" i="16"/>
  <c r="BI54" i="16"/>
  <c r="BI43" i="16"/>
  <c r="H25" i="16"/>
  <c r="H26" i="16" s="1" a="1"/>
  <c r="M54" i="16"/>
  <c r="M43" i="16"/>
  <c r="O9" i="16"/>
  <c r="O10" i="16" s="1"/>
  <c r="F26" i="16" a="1"/>
  <c r="U54" i="16"/>
  <c r="U43" i="16"/>
  <c r="E54" i="16"/>
  <c r="E43" i="16"/>
  <c r="S54" i="16"/>
  <c r="S43" i="16"/>
  <c r="E26" i="16" a="1"/>
  <c r="O23" i="16"/>
  <c r="O24" i="16"/>
  <c r="G26" i="16" a="1"/>
  <c r="D25" i="16"/>
  <c r="D26" i="16" s="1" a="1"/>
  <c r="AB43" i="16"/>
  <c r="AR43" i="16"/>
  <c r="BH43" i="16"/>
  <c r="AC54" i="16"/>
  <c r="AC43" i="16"/>
  <c r="BA54" i="16"/>
  <c r="BA43" i="16"/>
  <c r="I13" i="16"/>
  <c r="I25" i="16"/>
  <c r="I26" i="16" s="1" a="1"/>
  <c r="N26" i="16" a="1"/>
  <c r="L43" i="16"/>
  <c r="AF43" i="16"/>
  <c r="AV43" i="16"/>
  <c r="Z52" i="16"/>
  <c r="AP52" i="16"/>
  <c r="P54" i="16"/>
  <c r="AT47" i="16"/>
  <c r="P43" i="16"/>
  <c r="M26" i="16" a="1"/>
  <c r="B43" i="16"/>
  <c r="R43" i="16"/>
  <c r="AF52" i="16"/>
  <c r="AR52" i="16"/>
  <c r="AG52" i="16"/>
  <c r="AS52" i="16"/>
  <c r="Y66" i="16"/>
  <c r="Y65" i="16"/>
  <c r="N52" i="16"/>
  <c r="M67" i="16"/>
  <c r="O12" i="16"/>
  <c r="O16" i="16"/>
  <c r="O22" i="16"/>
  <c r="G43" i="16"/>
  <c r="O43" i="16"/>
  <c r="W43" i="16"/>
  <c r="AE43" i="16"/>
  <c r="AM43" i="16"/>
  <c r="AU43" i="16"/>
  <c r="BC43" i="16"/>
  <c r="AO52" i="16"/>
  <c r="AC52" i="16"/>
  <c r="AW52" i="16"/>
  <c r="AK52" i="16"/>
  <c r="L12" i="1"/>
  <c r="D9" i="1" s="1"/>
  <c r="N29" i="3"/>
  <c r="N53" i="3" s="1"/>
  <c r="B34" i="6"/>
  <c r="B36" i="6" s="1"/>
  <c r="B16" i="6"/>
  <c r="B19" i="6" s="1"/>
  <c r="B27" i="4"/>
  <c r="M25" i="9"/>
  <c r="F55" i="9"/>
  <c r="B14" i="4"/>
  <c r="E47" i="6"/>
  <c r="E45" i="6"/>
  <c r="C49" i="6"/>
  <c r="N12" i="9" s="1"/>
  <c r="N13" i="9" s="1"/>
  <c r="D4" i="8"/>
  <c r="G13" i="3"/>
  <c r="N66" i="9"/>
  <c r="O66" i="9" s="1"/>
  <c r="P66" i="9" s="1"/>
  <c r="Q66" i="9" s="1"/>
  <c r="R66" i="9" s="1"/>
  <c r="S66" i="9" s="1"/>
  <c r="T66" i="9" s="1"/>
  <c r="U66" i="9" s="1"/>
  <c r="V66" i="9" s="1"/>
  <c r="W66" i="9" s="1"/>
  <c r="X66" i="9" s="1"/>
  <c r="Y66" i="9" s="1"/>
  <c r="E38" i="10" s="1"/>
  <c r="M13" i="3"/>
  <c r="K29" i="3"/>
  <c r="I13" i="3"/>
  <c r="AW68" i="9"/>
  <c r="Y67" i="9"/>
  <c r="E31" i="8" s="1"/>
  <c r="O29" i="3"/>
  <c r="L17" i="1"/>
  <c r="G29" i="3"/>
  <c r="G53" i="3" s="1"/>
  <c r="R29" i="3"/>
  <c r="B21" i="9" s="1"/>
  <c r="J29" i="3"/>
  <c r="J53" i="3" s="1"/>
  <c r="H13" i="3"/>
  <c r="O13" i="3"/>
  <c r="K13" i="3"/>
  <c r="M29" i="3"/>
  <c r="M53" i="3" s="1"/>
  <c r="O23" i="9"/>
  <c r="H53" i="3"/>
  <c r="C14" i="13"/>
  <c r="C43" i="10"/>
  <c r="O9" i="9"/>
  <c r="O10" i="9" s="1"/>
  <c r="I29" i="3"/>
  <c r="Q29" i="3"/>
  <c r="O16" i="9"/>
  <c r="L29" i="3"/>
  <c r="B43" i="10"/>
  <c r="B13" i="9"/>
  <c r="O7" i="9"/>
  <c r="E4" i="8"/>
  <c r="N25" i="9"/>
  <c r="F4" i="8"/>
  <c r="B38" i="10"/>
  <c r="A4" i="8"/>
  <c r="B19" i="9"/>
  <c r="H25" i="9"/>
  <c r="H55" i="9"/>
  <c r="AC55" i="9"/>
  <c r="U55" i="9"/>
  <c r="M55" i="9"/>
  <c r="E55" i="9"/>
  <c r="L25" i="9"/>
  <c r="AB55" i="9"/>
  <c r="T55" i="9"/>
  <c r="L55" i="9"/>
  <c r="D55" i="9"/>
  <c r="AA55" i="9"/>
  <c r="S55" i="9"/>
  <c r="K55" i="9"/>
  <c r="C55" i="9"/>
  <c r="Z55" i="9"/>
  <c r="R55" i="9"/>
  <c r="J55" i="9"/>
  <c r="B55" i="9"/>
  <c r="Y55" i="9"/>
  <c r="Q55" i="9"/>
  <c r="I55" i="9"/>
  <c r="W55" i="9"/>
  <c r="O55" i="9"/>
  <c r="G55" i="9"/>
  <c r="I25" i="9"/>
  <c r="N55" i="9"/>
  <c r="B4" i="8"/>
  <c r="J25" i="9"/>
  <c r="P55" i="9"/>
  <c r="D52" i="3"/>
  <c r="K25" i="9"/>
  <c r="V55" i="9"/>
  <c r="X55" i="9"/>
  <c r="Y68" i="9"/>
  <c r="AK68" i="9"/>
  <c r="B31" i="12"/>
  <c r="F31" i="12"/>
  <c r="H31" i="12"/>
  <c r="L25" i="1" l="1"/>
  <c r="B9" i="13"/>
  <c r="D27" i="17"/>
  <c r="D28" i="17" s="1"/>
  <c r="D30" i="17" s="1"/>
  <c r="G30" i="17"/>
  <c r="E30" i="17"/>
  <c r="AJ60" i="17"/>
  <c r="AM56" i="17"/>
  <c r="AM44" i="17"/>
  <c r="F60" i="17"/>
  <c r="O57" i="17"/>
  <c r="O58" i="17" s="1"/>
  <c r="O60" i="17" s="1"/>
  <c r="O56" i="17"/>
  <c r="O44" i="17"/>
  <c r="AW69" i="17"/>
  <c r="AX57" i="17"/>
  <c r="AX58" i="17" s="1"/>
  <c r="AX60" i="17" s="1"/>
  <c r="BI69" i="17"/>
  <c r="Y69" i="17"/>
  <c r="AB60" i="17"/>
  <c r="AA66" i="17"/>
  <c r="AB66" i="17" s="1"/>
  <c r="AC66" i="17" s="1"/>
  <c r="AD66" i="17" s="1"/>
  <c r="AE66" i="17" s="1"/>
  <c r="AF66" i="17" s="1"/>
  <c r="AG66" i="17" s="1"/>
  <c r="AH66" i="17" s="1"/>
  <c r="AI66" i="17" s="1"/>
  <c r="AJ66" i="17" s="1"/>
  <c r="AK66" i="17" s="1"/>
  <c r="AL66" i="17" s="1"/>
  <c r="J30" i="17"/>
  <c r="E57" i="17"/>
  <c r="E58" i="17" s="1"/>
  <c r="E60" i="17" s="1"/>
  <c r="K60" i="17"/>
  <c r="L27" i="17"/>
  <c r="L28" i="17" s="1"/>
  <c r="L30" i="17" s="1"/>
  <c r="M30" i="17"/>
  <c r="Z58" i="17"/>
  <c r="Z60" i="17" s="1"/>
  <c r="AH57" i="17"/>
  <c r="AH58" i="17" s="1"/>
  <c r="AH60" i="17" s="1"/>
  <c r="H57" i="17"/>
  <c r="H58" i="17" s="1"/>
  <c r="H60" i="17" s="1"/>
  <c r="G58" i="17"/>
  <c r="G60" i="17" s="1"/>
  <c r="AE58" i="17"/>
  <c r="AE60" i="17" s="1"/>
  <c r="AD54" i="17"/>
  <c r="AP54" i="17"/>
  <c r="AQ60" i="17"/>
  <c r="AT57" i="17"/>
  <c r="AT58" i="17" s="1"/>
  <c r="AT60" i="17" s="1"/>
  <c r="N57" i="17"/>
  <c r="N58" i="17" s="1"/>
  <c r="N60" i="17" s="1"/>
  <c r="AS57" i="17"/>
  <c r="AS58" i="17" s="1"/>
  <c r="AS60" i="17" s="1"/>
  <c r="M57" i="17"/>
  <c r="M58" i="17" s="1"/>
  <c r="M60" i="17" s="1"/>
  <c r="Y60" i="17"/>
  <c r="AR57" i="17"/>
  <c r="AR58" i="17" s="1"/>
  <c r="AR60" i="17" s="1"/>
  <c r="L57" i="17"/>
  <c r="L58" i="17" s="1"/>
  <c r="L60" i="17" s="1"/>
  <c r="X60" i="17"/>
  <c r="AC60" i="17"/>
  <c r="F30" i="17"/>
  <c r="AI57" i="17"/>
  <c r="AI58" i="17" s="1"/>
  <c r="AI60" i="17" s="1"/>
  <c r="N30" i="17"/>
  <c r="R60" i="17"/>
  <c r="K30" i="17"/>
  <c r="Q60" i="17"/>
  <c r="P60" i="17"/>
  <c r="J58" i="17"/>
  <c r="J60" i="17" s="1"/>
  <c r="U60" i="17"/>
  <c r="AK67" i="17"/>
  <c r="AW54" i="17"/>
  <c r="AK54" i="17"/>
  <c r="AO58" i="17"/>
  <c r="AO60" i="17" s="1"/>
  <c r="I58" i="17"/>
  <c r="I60" i="17" s="1"/>
  <c r="AL54" i="17"/>
  <c r="AF58" i="17"/>
  <c r="AF60" i="17" s="1"/>
  <c r="O13" i="17"/>
  <c r="S60" i="17"/>
  <c r="B58" i="17"/>
  <c r="B60" i="17" s="1"/>
  <c r="O26" i="17"/>
  <c r="BF60" i="17"/>
  <c r="BE60" i="17"/>
  <c r="BD60" i="17"/>
  <c r="AG58" i="17"/>
  <c r="AG60" i="17" s="1"/>
  <c r="BI60" i="17"/>
  <c r="AY60" i="17"/>
  <c r="C60" i="17"/>
  <c r="AV60" i="17"/>
  <c r="C27" i="17" a="1"/>
  <c r="C27" i="17" s="1"/>
  <c r="BA60" i="17"/>
  <c r="AU58" i="17"/>
  <c r="AU60" i="17" s="1"/>
  <c r="BG60" i="17"/>
  <c r="AN60" i="17"/>
  <c r="AM54" i="17"/>
  <c r="AM57" i="17" s="1"/>
  <c r="AA54" i="17"/>
  <c r="BF50" i="9"/>
  <c r="AY50" i="9"/>
  <c r="BG50" i="9"/>
  <c r="BI50" i="9"/>
  <c r="BB50" i="9"/>
  <c r="AZ50" i="9"/>
  <c r="BH50" i="9"/>
  <c r="BA50" i="9"/>
  <c r="AX50" i="9"/>
  <c r="BC50" i="9"/>
  <c r="BD50" i="9"/>
  <c r="BE50" i="9"/>
  <c r="AL50" i="9"/>
  <c r="AM50" i="9"/>
  <c r="AU50" i="9"/>
  <c r="AN50" i="9"/>
  <c r="AV50" i="9"/>
  <c r="AO50" i="9"/>
  <c r="AW50" i="9"/>
  <c r="AP50" i="9"/>
  <c r="AQ50" i="9"/>
  <c r="AS50" i="9"/>
  <c r="AT50" i="9"/>
  <c r="AR50" i="9"/>
  <c r="Z50" i="9"/>
  <c r="AA50" i="9"/>
  <c r="AI50" i="9"/>
  <c r="AK50" i="9"/>
  <c r="AB50" i="9"/>
  <c r="AJ50" i="9"/>
  <c r="AC50" i="9"/>
  <c r="AD50" i="9"/>
  <c r="AE50" i="9"/>
  <c r="AF50" i="9"/>
  <c r="AG50" i="9"/>
  <c r="AH50" i="9"/>
  <c r="F19" i="16"/>
  <c r="E48" i="16" s="1"/>
  <c r="Q48" i="16" s="1"/>
  <c r="AC48" i="16" s="1"/>
  <c r="AO48" i="16" s="1"/>
  <c r="BA48" i="16" s="1"/>
  <c r="F19" i="9"/>
  <c r="E49" i="9" s="1"/>
  <c r="Q49" i="9" s="1"/>
  <c r="AC49" i="9" s="1"/>
  <c r="AO49" i="9" s="1"/>
  <c r="BA49" i="9" s="1"/>
  <c r="M19" i="9"/>
  <c r="L49" i="9" s="1"/>
  <c r="X49" i="9" s="1"/>
  <c r="AJ49" i="9" s="1"/>
  <c r="AV49" i="9" s="1"/>
  <c r="BH49" i="9" s="1"/>
  <c r="M19" i="16"/>
  <c r="L48" i="16" s="1"/>
  <c r="X48" i="16" s="1"/>
  <c r="AJ48" i="16" s="1"/>
  <c r="AV48" i="16" s="1"/>
  <c r="BH48" i="16" s="1"/>
  <c r="H19" i="16"/>
  <c r="G48" i="16" s="1"/>
  <c r="S48" i="16" s="1"/>
  <c r="AE48" i="16" s="1"/>
  <c r="AQ48" i="16" s="1"/>
  <c r="BC48" i="16" s="1"/>
  <c r="R53" i="3"/>
  <c r="L21" i="9"/>
  <c r="K51" i="9" s="1"/>
  <c r="W51" i="9" s="1"/>
  <c r="AI51" i="9" s="1"/>
  <c r="AU51" i="9" s="1"/>
  <c r="BG51" i="9" s="1"/>
  <c r="P53" i="3"/>
  <c r="P52" i="3"/>
  <c r="H19" i="9"/>
  <c r="G49" i="9" s="1"/>
  <c r="S49" i="9" s="1"/>
  <c r="AE49" i="9" s="1"/>
  <c r="AQ49" i="9" s="1"/>
  <c r="BC49" i="9" s="1"/>
  <c r="G19" i="16"/>
  <c r="F48" i="16" s="1"/>
  <c r="R48" i="16" s="1"/>
  <c r="AD48" i="16" s="1"/>
  <c r="G19" i="9"/>
  <c r="F49" i="9" s="1"/>
  <c r="R49" i="9" s="1"/>
  <c r="AD49" i="9" s="1"/>
  <c r="AP49" i="9" s="1"/>
  <c r="BB49" i="9" s="1"/>
  <c r="K19" i="16"/>
  <c r="J48" i="16" s="1"/>
  <c r="V48" i="16" s="1"/>
  <c r="AH48" i="16" s="1"/>
  <c r="AT48" i="16" s="1"/>
  <c r="BF48" i="16" s="1"/>
  <c r="K19" i="9"/>
  <c r="J49" i="9" s="1"/>
  <c r="V49" i="9" s="1"/>
  <c r="AH49" i="9" s="1"/>
  <c r="AT49" i="9" s="1"/>
  <c r="BF49" i="9" s="1"/>
  <c r="H15" i="1"/>
  <c r="G17" i="8"/>
  <c r="K20" i="16"/>
  <c r="J49" i="16" s="1"/>
  <c r="V49" i="16" s="1"/>
  <c r="AH49" i="16" s="1"/>
  <c r="AT49" i="16" s="1"/>
  <c r="BF49" i="16" s="1"/>
  <c r="K21" i="9"/>
  <c r="J51" i="9" s="1"/>
  <c r="V51" i="9" s="1"/>
  <c r="AH51" i="9" s="1"/>
  <c r="AT51" i="9" s="1"/>
  <c r="BF51" i="9" s="1"/>
  <c r="I52" i="3"/>
  <c r="E19" i="9"/>
  <c r="D49" i="9" s="1"/>
  <c r="P49" i="9" s="1"/>
  <c r="AB49" i="9" s="1"/>
  <c r="AN49" i="9" s="1"/>
  <c r="AZ49" i="9" s="1"/>
  <c r="E19" i="16"/>
  <c r="D48" i="16" s="1"/>
  <c r="P48" i="16" s="1"/>
  <c r="AB48" i="16" s="1"/>
  <c r="AN48" i="16" s="1"/>
  <c r="AZ48" i="16" s="1"/>
  <c r="J21" i="9"/>
  <c r="I51" i="9" s="1"/>
  <c r="U51" i="9" s="1"/>
  <c r="AG51" i="9" s="1"/>
  <c r="AS51" i="9" s="1"/>
  <c r="BE51" i="9" s="1"/>
  <c r="J20" i="16"/>
  <c r="I49" i="16" s="1"/>
  <c r="U49" i="16" s="1"/>
  <c r="AG49" i="16" s="1"/>
  <c r="AS49" i="16" s="1"/>
  <c r="BE49" i="16" s="1"/>
  <c r="H21" i="9"/>
  <c r="G51" i="9" s="1"/>
  <c r="S51" i="9" s="1"/>
  <c r="AE51" i="9" s="1"/>
  <c r="AQ51" i="9" s="1"/>
  <c r="BC51" i="9" s="1"/>
  <c r="H20" i="16"/>
  <c r="G49" i="16" s="1"/>
  <c r="S49" i="16" s="1"/>
  <c r="AE49" i="16" s="1"/>
  <c r="AQ49" i="16" s="1"/>
  <c r="BC49" i="16" s="1"/>
  <c r="E20" i="16"/>
  <c r="D49" i="16" s="1"/>
  <c r="P49" i="16" s="1"/>
  <c r="AB49" i="16" s="1"/>
  <c r="AN49" i="16" s="1"/>
  <c r="AZ49" i="16" s="1"/>
  <c r="E21" i="9"/>
  <c r="D51" i="9" s="1"/>
  <c r="P51" i="9" s="1"/>
  <c r="AB51" i="9" s="1"/>
  <c r="AN51" i="9" s="1"/>
  <c r="AZ51" i="9" s="1"/>
  <c r="C19" i="9"/>
  <c r="B49" i="9" s="1"/>
  <c r="N49" i="9" s="1"/>
  <c r="Z49" i="9" s="1"/>
  <c r="AL49" i="9" s="1"/>
  <c r="AX49" i="9" s="1"/>
  <c r="C19" i="16"/>
  <c r="I21" i="9"/>
  <c r="H51" i="9" s="1"/>
  <c r="T51" i="9" s="1"/>
  <c r="AF51" i="9" s="1"/>
  <c r="AR51" i="9" s="1"/>
  <c r="BD51" i="9" s="1"/>
  <c r="I20" i="16"/>
  <c r="H49" i="16" s="1"/>
  <c r="T49" i="16" s="1"/>
  <c r="AF49" i="16" s="1"/>
  <c r="AR49" i="16" s="1"/>
  <c r="BD49" i="16" s="1"/>
  <c r="D19" i="9"/>
  <c r="C49" i="9" s="1"/>
  <c r="O49" i="9" s="1"/>
  <c r="AA49" i="9" s="1"/>
  <c r="AM49" i="9" s="1"/>
  <c r="AY49" i="9" s="1"/>
  <c r="D19" i="16"/>
  <c r="C48" i="16" s="1"/>
  <c r="O48" i="16" s="1"/>
  <c r="AA48" i="16" s="1"/>
  <c r="AM48" i="16" s="1"/>
  <c r="AY48" i="16" s="1"/>
  <c r="I15" i="1"/>
  <c r="H17" i="8"/>
  <c r="O53" i="3"/>
  <c r="F20" i="16"/>
  <c r="E49" i="16" s="1"/>
  <c r="Q49" i="16" s="1"/>
  <c r="AC49" i="16" s="1"/>
  <c r="AO49" i="16" s="1"/>
  <c r="BA49" i="16" s="1"/>
  <c r="F21" i="9"/>
  <c r="E51" i="9" s="1"/>
  <c r="Q51" i="9" s="1"/>
  <c r="AC51" i="9" s="1"/>
  <c r="AO51" i="9" s="1"/>
  <c r="BA51" i="9" s="1"/>
  <c r="G20" i="16"/>
  <c r="F49" i="16" s="1"/>
  <c r="R49" i="16" s="1"/>
  <c r="AD49" i="16" s="1"/>
  <c r="AP49" i="16" s="1"/>
  <c r="BB49" i="16" s="1"/>
  <c r="G21" i="9"/>
  <c r="F51" i="9" s="1"/>
  <c r="R51" i="9" s="1"/>
  <c r="AD51" i="9" s="1"/>
  <c r="AP51" i="9" s="1"/>
  <c r="BB51" i="9" s="1"/>
  <c r="K53" i="3"/>
  <c r="M20" i="16"/>
  <c r="L49" i="16" s="1"/>
  <c r="X49" i="16" s="1"/>
  <c r="AJ49" i="16" s="1"/>
  <c r="AV49" i="16" s="1"/>
  <c r="BH49" i="16" s="1"/>
  <c r="M21" i="9"/>
  <c r="L51" i="9" s="1"/>
  <c r="X51" i="9" s="1"/>
  <c r="AJ51" i="9" s="1"/>
  <c r="AV51" i="9" s="1"/>
  <c r="BH51" i="9" s="1"/>
  <c r="B20" i="16"/>
  <c r="N21" i="9"/>
  <c r="M51" i="9" s="1"/>
  <c r="Y51" i="9" s="1"/>
  <c r="AK51" i="9" s="1"/>
  <c r="AW51" i="9" s="1"/>
  <c r="BI51" i="9" s="1"/>
  <c r="N20" i="16"/>
  <c r="M49" i="16" s="1"/>
  <c r="Y49" i="16" s="1"/>
  <c r="AK49" i="16" s="1"/>
  <c r="AW49" i="16" s="1"/>
  <c r="BI49" i="16" s="1"/>
  <c r="I19" i="16"/>
  <c r="H48" i="16" s="1"/>
  <c r="T48" i="16" s="1"/>
  <c r="AF48" i="16" s="1"/>
  <c r="AR48" i="16" s="1"/>
  <c r="BD48" i="16" s="1"/>
  <c r="I19" i="9"/>
  <c r="H49" i="9" s="1"/>
  <c r="T49" i="9" s="1"/>
  <c r="AF49" i="9" s="1"/>
  <c r="AR49" i="9" s="1"/>
  <c r="BD49" i="9" s="1"/>
  <c r="F17" i="8"/>
  <c r="B34" i="13"/>
  <c r="G15" i="1"/>
  <c r="B33" i="13"/>
  <c r="C20" i="16"/>
  <c r="B49" i="16" s="1"/>
  <c r="N49" i="16" s="1"/>
  <c r="Z49" i="16" s="1"/>
  <c r="AL49" i="16" s="1"/>
  <c r="AX49" i="16" s="1"/>
  <c r="C21" i="9"/>
  <c r="B51" i="9" s="1"/>
  <c r="N51" i="9" s="1"/>
  <c r="Z51" i="9" s="1"/>
  <c r="AL51" i="9" s="1"/>
  <c r="AX51" i="9" s="1"/>
  <c r="AL64" i="9"/>
  <c r="AW67" i="9" s="1"/>
  <c r="G31" i="8" s="1"/>
  <c r="BI67" i="16"/>
  <c r="AX43" i="16"/>
  <c r="AQ54" i="16"/>
  <c r="AK65" i="16"/>
  <c r="Y67" i="16"/>
  <c r="Y43" i="16"/>
  <c r="X43" i="16"/>
  <c r="AK67" i="16"/>
  <c r="AH43" i="16"/>
  <c r="AL43" i="16"/>
  <c r="AW67" i="16"/>
  <c r="V43" i="16"/>
  <c r="V54" i="16"/>
  <c r="O13" i="16"/>
  <c r="AE52" i="16"/>
  <c r="AQ52" i="16"/>
  <c r="AE64" i="16"/>
  <c r="AF64" i="16" s="1"/>
  <c r="AG64" i="16" s="1"/>
  <c r="AH64" i="16" s="1"/>
  <c r="AI64" i="16" s="1"/>
  <c r="AJ64" i="16" s="1"/>
  <c r="AK64" i="16" s="1"/>
  <c r="AH52" i="16"/>
  <c r="AT52" i="16"/>
  <c r="O25" i="16"/>
  <c r="AP48" i="16"/>
  <c r="BF47" i="16"/>
  <c r="AL52" i="16"/>
  <c r="E44" i="6"/>
  <c r="AI43" i="9"/>
  <c r="AI44" i="9" s="1"/>
  <c r="P43" i="9"/>
  <c r="P56" i="9" s="1"/>
  <c r="Z43" i="9"/>
  <c r="Z44" i="9" s="1"/>
  <c r="W43" i="9"/>
  <c r="W56" i="9" s="1"/>
  <c r="U43" i="9"/>
  <c r="U56" i="9" s="1"/>
  <c r="F43" i="9"/>
  <c r="F56" i="9" s="1"/>
  <c r="AB43" i="9"/>
  <c r="AB44" i="9" s="1"/>
  <c r="K12" i="9"/>
  <c r="K26" i="9" s="1"/>
  <c r="J43" i="9"/>
  <c r="J56" i="9" s="1"/>
  <c r="T43" i="9"/>
  <c r="T56" i="9" s="1"/>
  <c r="Y43" i="9"/>
  <c r="Y44" i="9" s="1"/>
  <c r="K43" i="9"/>
  <c r="K56" i="9" s="1"/>
  <c r="N26" i="9"/>
  <c r="G25" i="9"/>
  <c r="O25" i="9" s="1"/>
  <c r="H43" i="9"/>
  <c r="H56" i="9" s="1"/>
  <c r="AF43" i="9"/>
  <c r="AF56" i="9" s="1"/>
  <c r="N43" i="9"/>
  <c r="N56" i="9" s="1"/>
  <c r="B43" i="9"/>
  <c r="R43" i="9"/>
  <c r="R44" i="9" s="1"/>
  <c r="M12" i="9"/>
  <c r="M26" i="9" s="1"/>
  <c r="V43" i="9"/>
  <c r="V56" i="9" s="1"/>
  <c r="AU43" i="9"/>
  <c r="AU56" i="9" s="1"/>
  <c r="I43" i="9"/>
  <c r="I56" i="9" s="1"/>
  <c r="E43" i="9"/>
  <c r="E44" i="9" s="1"/>
  <c r="D43" i="9"/>
  <c r="D56" i="9" s="1"/>
  <c r="S43" i="9"/>
  <c r="S44" i="9" s="1"/>
  <c r="M43" i="9"/>
  <c r="M44" i="9" s="1"/>
  <c r="BE56" i="9"/>
  <c r="AN43" i="9"/>
  <c r="AP43" i="9"/>
  <c r="AP44" i="9" s="1"/>
  <c r="AG43" i="9"/>
  <c r="AG56" i="9" s="1"/>
  <c r="AD43" i="9"/>
  <c r="AD56" i="9" s="1"/>
  <c r="B4" i="10"/>
  <c r="BD44" i="9"/>
  <c r="L43" i="9"/>
  <c r="L56" i="9" s="1"/>
  <c r="AV43" i="9"/>
  <c r="AV44" i="9" s="1"/>
  <c r="AX44" i="9"/>
  <c r="AO43" i="9"/>
  <c r="AO56" i="9" s="1"/>
  <c r="AZ56" i="9"/>
  <c r="AQ43" i="9"/>
  <c r="AQ56" i="9" s="1"/>
  <c r="AK43" i="9"/>
  <c r="AK44" i="9" s="1"/>
  <c r="AL43" i="9"/>
  <c r="AL56" i="9" s="1"/>
  <c r="G12" i="9"/>
  <c r="G26" i="9" s="1"/>
  <c r="X43" i="9"/>
  <c r="X56" i="9" s="1"/>
  <c r="BH56" i="9"/>
  <c r="Q43" i="9"/>
  <c r="Q56" i="9" s="1"/>
  <c r="G43" i="9"/>
  <c r="G56" i="9" s="1"/>
  <c r="BC56" i="9"/>
  <c r="AS43" i="9"/>
  <c r="AS56" i="9" s="1"/>
  <c r="AT43" i="9"/>
  <c r="AT44" i="9" s="1"/>
  <c r="B4" i="12"/>
  <c r="B7" i="12" s="1"/>
  <c r="B39" i="6"/>
  <c r="B40" i="6" s="1"/>
  <c r="G45" i="6" s="1"/>
  <c r="F12" i="9"/>
  <c r="F13" i="9" s="1"/>
  <c r="AR43" i="9"/>
  <c r="AR44" i="9" s="1"/>
  <c r="AJ43" i="9"/>
  <c r="AJ56" i="9" s="1"/>
  <c r="AE43" i="9"/>
  <c r="AE56" i="9" s="1"/>
  <c r="AC43" i="9"/>
  <c r="AC56" i="9" s="1"/>
  <c r="C43" i="9"/>
  <c r="C56" i="9" s="1"/>
  <c r="AH43" i="9"/>
  <c r="AH44" i="9" s="1"/>
  <c r="AA43" i="9"/>
  <c r="AA56" i="9" s="1"/>
  <c r="AW43" i="9"/>
  <c r="AW56" i="9" s="1"/>
  <c r="D12" i="9"/>
  <c r="D26" i="9" s="1"/>
  <c r="AM43" i="9"/>
  <c r="AM56" i="9" s="1"/>
  <c r="BF56" i="9"/>
  <c r="BA56" i="9"/>
  <c r="BB56" i="9"/>
  <c r="O43" i="9"/>
  <c r="O56" i="9" s="1"/>
  <c r="H12" i="9"/>
  <c r="H26" i="9" s="1"/>
  <c r="J12" i="9"/>
  <c r="J13" i="9" s="1"/>
  <c r="C12" i="9"/>
  <c r="C13" i="9" s="1"/>
  <c r="L12" i="9"/>
  <c r="L26" i="9" s="1"/>
  <c r="E12" i="9"/>
  <c r="E26" i="9" s="1"/>
  <c r="BG56" i="9"/>
  <c r="BI44" i="9"/>
  <c r="I12" i="9"/>
  <c r="I13" i="9" s="1"/>
  <c r="D39" i="6"/>
  <c r="D40" i="6" s="1"/>
  <c r="G47" i="6" s="1"/>
  <c r="E46" i="6"/>
  <c r="E49" i="6" s="1"/>
  <c r="Z54" i="9" s="1"/>
  <c r="C39" i="6"/>
  <c r="M52" i="3"/>
  <c r="K52" i="3"/>
  <c r="G52" i="3"/>
  <c r="O52" i="3"/>
  <c r="H52" i="3"/>
  <c r="AK67" i="9"/>
  <c r="F31" i="8" s="1"/>
  <c r="B14" i="13"/>
  <c r="Z66" i="9"/>
  <c r="AA66" i="9" s="1"/>
  <c r="AB66" i="9" s="1"/>
  <c r="AC66" i="9" s="1"/>
  <c r="AD66" i="9" s="1"/>
  <c r="AE66" i="9" s="1"/>
  <c r="AF66" i="9" s="1"/>
  <c r="AG66" i="9" s="1"/>
  <c r="AH66" i="9" s="1"/>
  <c r="AI66" i="9" s="1"/>
  <c r="AJ66" i="9" s="1"/>
  <c r="AK66" i="9" s="1"/>
  <c r="F38" i="10" s="1"/>
  <c r="L53" i="3"/>
  <c r="B20" i="6"/>
  <c r="G44" i="6" s="1"/>
  <c r="D44" i="6"/>
  <c r="Q53" i="3"/>
  <c r="I53" i="3"/>
  <c r="B27" i="9" a="1"/>
  <c r="B27" i="9" s="1"/>
  <c r="O27" i="17" l="1"/>
  <c r="M70" i="17"/>
  <c r="C28" i="17"/>
  <c r="AA57" i="17"/>
  <c r="AA58" i="17" s="1"/>
  <c r="AA60" i="17" s="1"/>
  <c r="AP57" i="17"/>
  <c r="AP58" i="17" s="1"/>
  <c r="AP60" i="17" s="1"/>
  <c r="Y70" i="17"/>
  <c r="AD57" i="17"/>
  <c r="AD58" i="17" s="1"/>
  <c r="AD60" i="17" s="1"/>
  <c r="AM58" i="17"/>
  <c r="AM60" i="17" s="1"/>
  <c r="BI70" i="17"/>
  <c r="AL57" i="17"/>
  <c r="AL58" i="17" s="1"/>
  <c r="AL60" i="17" s="1"/>
  <c r="AW67" i="17"/>
  <c r="AK57" i="17"/>
  <c r="AK58" i="17" s="1"/>
  <c r="AK60" i="17" s="1"/>
  <c r="AW57" i="17"/>
  <c r="AW58" i="17" s="1"/>
  <c r="AW60" i="17" s="1"/>
  <c r="AM66" i="17"/>
  <c r="AN66" i="17" s="1"/>
  <c r="AO66" i="17" s="1"/>
  <c r="AP66" i="17" s="1"/>
  <c r="AQ66" i="17" s="1"/>
  <c r="AR66" i="17" s="1"/>
  <c r="AS66" i="17" s="1"/>
  <c r="AT66" i="17" s="1"/>
  <c r="AU66" i="17" s="1"/>
  <c r="AV66" i="17" s="1"/>
  <c r="AW66" i="17" s="1"/>
  <c r="AX66" i="17" s="1"/>
  <c r="AY66" i="17" s="1"/>
  <c r="AZ66" i="17" s="1"/>
  <c r="BA66" i="17" s="1"/>
  <c r="BB66" i="17" s="1"/>
  <c r="BC66" i="17" s="1"/>
  <c r="BD66" i="17" s="1"/>
  <c r="BE66" i="17" s="1"/>
  <c r="BF66" i="17" s="1"/>
  <c r="BG66" i="17" s="1"/>
  <c r="BH66" i="17" s="1"/>
  <c r="BI66" i="17" s="1"/>
  <c r="O19" i="9"/>
  <c r="F26" i="16"/>
  <c r="F27" i="16" s="1"/>
  <c r="F29" i="16" s="1"/>
  <c r="D26" i="16"/>
  <c r="D27" i="16" s="1"/>
  <c r="D29" i="16" s="1"/>
  <c r="B26" i="16" a="1"/>
  <c r="B26" i="16" s="1"/>
  <c r="O20" i="16"/>
  <c r="AL64" i="16"/>
  <c r="AM64" i="16" s="1"/>
  <c r="AN64" i="16" s="1"/>
  <c r="AO64" i="16" s="1"/>
  <c r="AP64" i="16" s="1"/>
  <c r="AQ64" i="16" s="1"/>
  <c r="AR64" i="16" s="1"/>
  <c r="AS64" i="16" s="1"/>
  <c r="AT64" i="16" s="1"/>
  <c r="AU64" i="16" s="1"/>
  <c r="AV64" i="16" s="1"/>
  <c r="AW64" i="16" s="1"/>
  <c r="F22" i="13"/>
  <c r="F23" i="13" s="1"/>
  <c r="E26" i="16"/>
  <c r="E27" i="16" s="1"/>
  <c r="E29" i="16" s="1"/>
  <c r="B48" i="16"/>
  <c r="N48" i="16" s="1"/>
  <c r="Z48" i="16" s="1"/>
  <c r="C26" i="16"/>
  <c r="C27" i="16" s="1"/>
  <c r="C29" i="16" s="1"/>
  <c r="O19" i="16"/>
  <c r="AL66" i="9"/>
  <c r="AM66" i="9" s="1"/>
  <c r="AN66" i="9" s="1"/>
  <c r="AO66" i="9" s="1"/>
  <c r="AP66" i="9" s="1"/>
  <c r="AQ66" i="9" s="1"/>
  <c r="AR66" i="9" s="1"/>
  <c r="AS66" i="9" s="1"/>
  <c r="AT66" i="9" s="1"/>
  <c r="AU66" i="9" s="1"/>
  <c r="AV66" i="9" s="1"/>
  <c r="AW66" i="9" s="1"/>
  <c r="AW65" i="16"/>
  <c r="BB48" i="16"/>
  <c r="AL48" i="16"/>
  <c r="AF44" i="9"/>
  <c r="T44" i="9"/>
  <c r="P44" i="9"/>
  <c r="AB56" i="9"/>
  <c r="E56" i="9"/>
  <c r="V44" i="9"/>
  <c r="M56" i="9"/>
  <c r="AG44" i="9"/>
  <c r="AI56" i="9"/>
  <c r="Y56" i="9"/>
  <c r="U44" i="9"/>
  <c r="J26" i="9"/>
  <c r="F44" i="9"/>
  <c r="D13" i="9"/>
  <c r="J44" i="9"/>
  <c r="C46" i="11"/>
  <c r="N44" i="9"/>
  <c r="C26" i="9"/>
  <c r="W44" i="9"/>
  <c r="D47" i="6"/>
  <c r="A8" i="8" s="1" a="1"/>
  <c r="F8" i="8" s="1"/>
  <c r="K44" i="9"/>
  <c r="Z56" i="9"/>
  <c r="M13" i="9"/>
  <c r="AP56" i="9"/>
  <c r="I44" i="9"/>
  <c r="S56" i="9"/>
  <c r="K13" i="9"/>
  <c r="H44" i="9"/>
  <c r="O44" i="9"/>
  <c r="I26" i="9"/>
  <c r="G13" i="9"/>
  <c r="H13" i="9"/>
  <c r="L13" i="9"/>
  <c r="L44" i="9"/>
  <c r="AT56" i="9"/>
  <c r="AD44" i="9"/>
  <c r="AV56" i="9"/>
  <c r="BD56" i="9"/>
  <c r="G44" i="9"/>
  <c r="BF44" i="9"/>
  <c r="BC44" i="9"/>
  <c r="AL44" i="9"/>
  <c r="AM44" i="9"/>
  <c r="AK56" i="9"/>
  <c r="AE44" i="9"/>
  <c r="BG44" i="9"/>
  <c r="BI56" i="9"/>
  <c r="X44" i="9"/>
  <c r="AJ44" i="9"/>
  <c r="D44" i="9"/>
  <c r="AH56" i="9"/>
  <c r="AW69" i="9"/>
  <c r="M69" i="9"/>
  <c r="AW44" i="9"/>
  <c r="AQ44" i="9"/>
  <c r="AC44" i="9"/>
  <c r="AN44" i="9"/>
  <c r="R56" i="9"/>
  <c r="E13" i="9"/>
  <c r="BA44" i="9"/>
  <c r="D45" i="6"/>
  <c r="A6" i="8" s="1" a="1"/>
  <c r="E6" i="8" s="1"/>
  <c r="B56" i="9"/>
  <c r="BE44" i="9"/>
  <c r="Y69" i="9"/>
  <c r="C44" i="9"/>
  <c r="B44" i="9"/>
  <c r="BB44" i="9"/>
  <c r="BH44" i="9"/>
  <c r="AX56" i="9"/>
  <c r="BI69" i="9"/>
  <c r="H13" i="10" s="1"/>
  <c r="AU44" i="9"/>
  <c r="O12" i="9"/>
  <c r="C31" i="8" s="1"/>
  <c r="AY44" i="9"/>
  <c r="AZ44" i="9"/>
  <c r="AR56" i="9"/>
  <c r="AA44" i="9"/>
  <c r="AS44" i="9"/>
  <c r="Q44" i="9"/>
  <c r="F26" i="9"/>
  <c r="AK69" i="9"/>
  <c r="AO44" i="9"/>
  <c r="AN56" i="9"/>
  <c r="AY56" i="9"/>
  <c r="C40" i="6"/>
  <c r="G46" i="6" s="1"/>
  <c r="D46" i="6"/>
  <c r="A7" i="8" s="1" a="1"/>
  <c r="O21" i="9"/>
  <c r="B8" i="8"/>
  <c r="G46" i="11"/>
  <c r="G24" i="10"/>
  <c r="G25" i="10" s="1"/>
  <c r="B28" i="9"/>
  <c r="B6" i="12"/>
  <c r="B6" i="10"/>
  <c r="BE54" i="9"/>
  <c r="AW54" i="9"/>
  <c r="AO54" i="9"/>
  <c r="Y54" i="9"/>
  <c r="Q54" i="9"/>
  <c r="I54" i="9"/>
  <c r="N24" i="9"/>
  <c r="F24" i="9"/>
  <c r="BD54" i="9"/>
  <c r="AV54" i="9"/>
  <c r="AN54" i="9"/>
  <c r="AF54" i="9"/>
  <c r="X54" i="9"/>
  <c r="P54" i="9"/>
  <c r="H54" i="9"/>
  <c r="BC54" i="9"/>
  <c r="AU54" i="9"/>
  <c r="AM54" i="9"/>
  <c r="AE54" i="9"/>
  <c r="W54" i="9"/>
  <c r="O54" i="9"/>
  <c r="G54" i="9"/>
  <c r="BB54" i="9"/>
  <c r="AT54" i="9"/>
  <c r="AL54" i="9"/>
  <c r="AD54" i="9"/>
  <c r="V54" i="9"/>
  <c r="N54" i="9"/>
  <c r="F54" i="9"/>
  <c r="BI54" i="9"/>
  <c r="BA54" i="9"/>
  <c r="AS54" i="9"/>
  <c r="AK54" i="9"/>
  <c r="AC54" i="9"/>
  <c r="U54" i="9"/>
  <c r="M54" i="9"/>
  <c r="E54" i="9"/>
  <c r="BG54" i="9"/>
  <c r="AY54" i="9"/>
  <c r="AQ54" i="9"/>
  <c r="AA54" i="9"/>
  <c r="S54" i="9"/>
  <c r="K54" i="9"/>
  <c r="C54" i="9"/>
  <c r="AZ54" i="9"/>
  <c r="AX54" i="9"/>
  <c r="R54" i="9"/>
  <c r="L24" i="9"/>
  <c r="C24" i="9"/>
  <c r="AH54" i="9"/>
  <c r="AR54" i="9"/>
  <c r="L54" i="9"/>
  <c r="K24" i="9"/>
  <c r="AP54" i="9"/>
  <c r="J54" i="9"/>
  <c r="J24" i="9"/>
  <c r="AJ54" i="9"/>
  <c r="D54" i="9"/>
  <c r="I24" i="9"/>
  <c r="B54" i="9"/>
  <c r="BH54" i="9"/>
  <c r="AB54" i="9"/>
  <c r="G24" i="9"/>
  <c r="BF54" i="9"/>
  <c r="E24" i="9"/>
  <c r="T54" i="9"/>
  <c r="M24" i="9"/>
  <c r="H24" i="9"/>
  <c r="D24" i="9"/>
  <c r="C34" i="3"/>
  <c r="E11" i="11"/>
  <c r="AG54" i="9"/>
  <c r="AI54" i="9"/>
  <c r="C11" i="11"/>
  <c r="D11" i="11"/>
  <c r="F11" i="11"/>
  <c r="A5" i="8" a="1"/>
  <c r="I22" i="1" l="1"/>
  <c r="H24" i="10"/>
  <c r="H25" i="10" s="1"/>
  <c r="H22" i="8"/>
  <c r="H31" i="8" s="1"/>
  <c r="H46" i="11"/>
  <c r="AK70" i="17"/>
  <c r="AW70" i="17"/>
  <c r="C30" i="17"/>
  <c r="O28" i="17"/>
  <c r="BD46" i="16"/>
  <c r="BD55" i="16" s="1"/>
  <c r="BD56" i="16" s="1"/>
  <c r="BD58" i="16" s="1"/>
  <c r="AV46" i="16"/>
  <c r="AV55" i="16" s="1"/>
  <c r="AV56" i="16" s="1"/>
  <c r="AV58" i="16" s="1"/>
  <c r="AN46" i="16"/>
  <c r="AN55" i="16" s="1"/>
  <c r="AN56" i="16" s="1"/>
  <c r="AN58" i="16" s="1"/>
  <c r="AF46" i="16"/>
  <c r="X46" i="16"/>
  <c r="X55" i="16" s="1"/>
  <c r="X56" i="16" s="1"/>
  <c r="X58" i="16" s="1"/>
  <c r="P46" i="16"/>
  <c r="P55" i="16" s="1"/>
  <c r="P56" i="16" s="1"/>
  <c r="P58" i="16" s="1"/>
  <c r="H46" i="16"/>
  <c r="H55" i="16" s="1"/>
  <c r="H56" i="16" s="1"/>
  <c r="H58" i="16" s="1"/>
  <c r="BC46" i="16"/>
  <c r="BC55" i="16" s="1"/>
  <c r="BC56" i="16" s="1"/>
  <c r="BC58" i="16" s="1"/>
  <c r="AU46" i="16"/>
  <c r="AU55" i="16" s="1"/>
  <c r="AU56" i="16" s="1"/>
  <c r="AU58" i="16" s="1"/>
  <c r="AM46" i="16"/>
  <c r="AM55" i="16" s="1"/>
  <c r="AM56" i="16" s="1"/>
  <c r="AM58" i="16" s="1"/>
  <c r="AE46" i="16"/>
  <c r="AE55" i="16" s="1"/>
  <c r="AE56" i="16" s="1"/>
  <c r="AE58" i="16" s="1"/>
  <c r="W46" i="16"/>
  <c r="W55" i="16" s="1"/>
  <c r="W56" i="16" s="1"/>
  <c r="W58" i="16" s="1"/>
  <c r="O46" i="16"/>
  <c r="O55" i="16" s="1"/>
  <c r="O56" i="16" s="1"/>
  <c r="O58" i="16" s="1"/>
  <c r="G46" i="16"/>
  <c r="G55" i="16" s="1"/>
  <c r="G56" i="16" s="1"/>
  <c r="G58" i="16" s="1"/>
  <c r="BB46" i="16"/>
  <c r="BB55" i="16" s="1"/>
  <c r="BB56" i="16" s="1"/>
  <c r="BB58" i="16" s="1"/>
  <c r="AT46" i="16"/>
  <c r="AT55" i="16" s="1"/>
  <c r="AT56" i="16" s="1"/>
  <c r="AT58" i="16" s="1"/>
  <c r="AL46" i="16"/>
  <c r="AL55" i="16" s="1"/>
  <c r="AL56" i="16" s="1"/>
  <c r="AL58" i="16" s="1"/>
  <c r="AD46" i="16"/>
  <c r="AD55" i="16" s="1"/>
  <c r="AD56" i="16" s="1"/>
  <c r="AD58" i="16" s="1"/>
  <c r="V46" i="16"/>
  <c r="V55" i="16" s="1"/>
  <c r="V56" i="16" s="1"/>
  <c r="V58" i="16" s="1"/>
  <c r="N46" i="16"/>
  <c r="N55" i="16" s="1"/>
  <c r="N56" i="16" s="1"/>
  <c r="N58" i="16" s="1"/>
  <c r="F46" i="16"/>
  <c r="F55" i="16" s="1"/>
  <c r="F56" i="16" s="1"/>
  <c r="F58" i="16" s="1"/>
  <c r="AW46" i="16"/>
  <c r="AW55" i="16" s="1"/>
  <c r="AW56" i="16" s="1"/>
  <c r="AW58" i="16" s="1"/>
  <c r="AG46" i="16"/>
  <c r="AG55" i="16" s="1"/>
  <c r="AG56" i="16" s="1"/>
  <c r="AG58" i="16" s="1"/>
  <c r="I46" i="16"/>
  <c r="I55" i="16" s="1"/>
  <c r="I56" i="16" s="1"/>
  <c r="I58" i="16" s="1"/>
  <c r="BI46" i="16"/>
  <c r="BA46" i="16"/>
  <c r="AS46" i="16"/>
  <c r="AS55" i="16" s="1"/>
  <c r="AS56" i="16" s="1"/>
  <c r="AS58" i="16" s="1"/>
  <c r="AK46" i="16"/>
  <c r="AK55" i="16" s="1"/>
  <c r="AK56" i="16" s="1"/>
  <c r="AK58" i="16" s="1"/>
  <c r="AC46" i="16"/>
  <c r="AC55" i="16" s="1"/>
  <c r="AC56" i="16" s="1"/>
  <c r="AC58" i="16" s="1"/>
  <c r="U46" i="16"/>
  <c r="U55" i="16" s="1"/>
  <c r="U56" i="16" s="1"/>
  <c r="U58" i="16" s="1"/>
  <c r="M46" i="16"/>
  <c r="E46" i="16"/>
  <c r="E55" i="16" s="1"/>
  <c r="E56" i="16" s="1"/>
  <c r="E58" i="16" s="1"/>
  <c r="BH46" i="16"/>
  <c r="BH55" i="16" s="1"/>
  <c r="BH56" i="16" s="1"/>
  <c r="BH58" i="16" s="1"/>
  <c r="AZ46" i="16"/>
  <c r="AZ55" i="16" s="1"/>
  <c r="AZ56" i="16" s="1"/>
  <c r="AZ58" i="16" s="1"/>
  <c r="AR46" i="16"/>
  <c r="AR55" i="16" s="1"/>
  <c r="AR56" i="16" s="1"/>
  <c r="AR58" i="16" s="1"/>
  <c r="AJ46" i="16"/>
  <c r="AJ55" i="16" s="1"/>
  <c r="AJ56" i="16" s="1"/>
  <c r="AJ58" i="16" s="1"/>
  <c r="AB46" i="16"/>
  <c r="AB55" i="16" s="1"/>
  <c r="AB56" i="16" s="1"/>
  <c r="AB58" i="16" s="1"/>
  <c r="T46" i="16"/>
  <c r="T55" i="16" s="1"/>
  <c r="T56" i="16" s="1"/>
  <c r="T58" i="16" s="1"/>
  <c r="L46" i="16"/>
  <c r="L55" i="16" s="1"/>
  <c r="L56" i="16" s="1"/>
  <c r="L58" i="16" s="1"/>
  <c r="D46" i="16"/>
  <c r="D55" i="16" s="1"/>
  <c r="D56" i="16" s="1"/>
  <c r="D58" i="16" s="1"/>
  <c r="AX46" i="16"/>
  <c r="AH46" i="16"/>
  <c r="R46" i="16"/>
  <c r="R55" i="16" s="1"/>
  <c r="R56" i="16" s="1"/>
  <c r="R58" i="16" s="1"/>
  <c r="B46" i="16"/>
  <c r="B55" i="16" s="1"/>
  <c r="B56" i="16" s="1"/>
  <c r="B58" i="16" s="1"/>
  <c r="BE46" i="16"/>
  <c r="BE55" i="16" s="1"/>
  <c r="BE56" i="16" s="1"/>
  <c r="BE58" i="16" s="1"/>
  <c r="Y46" i="16"/>
  <c r="Y55" i="16" s="1"/>
  <c r="Y56" i="16" s="1"/>
  <c r="Y58" i="16" s="1"/>
  <c r="BG46" i="16"/>
  <c r="BG55" i="16" s="1"/>
  <c r="BG56" i="16" s="1"/>
  <c r="BG58" i="16" s="1"/>
  <c r="AY46" i="16"/>
  <c r="AY55" i="16" s="1"/>
  <c r="AY56" i="16" s="1"/>
  <c r="AY58" i="16" s="1"/>
  <c r="AQ46" i="16"/>
  <c r="AQ55" i="16" s="1"/>
  <c r="AQ56" i="16" s="1"/>
  <c r="AQ58" i="16" s="1"/>
  <c r="AI46" i="16"/>
  <c r="AI55" i="16" s="1"/>
  <c r="AI56" i="16" s="1"/>
  <c r="AI58" i="16" s="1"/>
  <c r="AA46" i="16"/>
  <c r="AA55" i="16" s="1"/>
  <c r="AA56" i="16" s="1"/>
  <c r="AA58" i="16" s="1"/>
  <c r="S46" i="16"/>
  <c r="S55" i="16" s="1"/>
  <c r="S56" i="16" s="1"/>
  <c r="S58" i="16" s="1"/>
  <c r="K46" i="16"/>
  <c r="K55" i="16" s="1"/>
  <c r="K56" i="16" s="1"/>
  <c r="K58" i="16" s="1"/>
  <c r="C46" i="16"/>
  <c r="C55" i="16" s="1"/>
  <c r="C56" i="16" s="1"/>
  <c r="C58" i="16" s="1"/>
  <c r="BF46" i="16"/>
  <c r="BF55" i="16" s="1"/>
  <c r="BF56" i="16" s="1"/>
  <c r="BF58" i="16" s="1"/>
  <c r="AP46" i="16"/>
  <c r="AP55" i="16" s="1"/>
  <c r="AP56" i="16" s="1"/>
  <c r="AP58" i="16" s="1"/>
  <c r="Z46" i="16"/>
  <c r="Z55" i="16" s="1"/>
  <c r="Z56" i="16" s="1"/>
  <c r="Z58" i="16" s="1"/>
  <c r="J46" i="16"/>
  <c r="J55" i="16" s="1"/>
  <c r="J56" i="16" s="1"/>
  <c r="J58" i="16" s="1"/>
  <c r="AO46" i="16"/>
  <c r="AO55" i="16" s="1"/>
  <c r="AO56" i="16" s="1"/>
  <c r="AO58" i="16" s="1"/>
  <c r="Q46" i="16"/>
  <c r="Q55" i="16" s="1"/>
  <c r="Q56" i="16" s="1"/>
  <c r="Q58" i="16" s="1"/>
  <c r="AX64" i="16"/>
  <c r="AY64" i="16" s="1"/>
  <c r="AZ64" i="16" s="1"/>
  <c r="BA64" i="16" s="1"/>
  <c r="BB64" i="16" s="1"/>
  <c r="BC64" i="16" s="1"/>
  <c r="BD64" i="16" s="1"/>
  <c r="BE64" i="16" s="1"/>
  <c r="BF64" i="16" s="1"/>
  <c r="BG64" i="16" s="1"/>
  <c r="BH64" i="16" s="1"/>
  <c r="BI64" i="16" s="1"/>
  <c r="H22" i="13" s="1"/>
  <c r="G22" i="13"/>
  <c r="G23" i="13" s="1"/>
  <c r="B27" i="16"/>
  <c r="B19" i="10"/>
  <c r="B44" i="10"/>
  <c r="AX66" i="9"/>
  <c r="AY66" i="9" s="1"/>
  <c r="AZ66" i="9" s="1"/>
  <c r="BA66" i="9" s="1"/>
  <c r="BB66" i="9" s="1"/>
  <c r="BC66" i="9" s="1"/>
  <c r="BD66" i="9" s="1"/>
  <c r="BE66" i="9" s="1"/>
  <c r="BF66" i="9" s="1"/>
  <c r="BG66" i="9" s="1"/>
  <c r="BH66" i="9" s="1"/>
  <c r="BI66" i="9" s="1"/>
  <c r="H38" i="10" s="1"/>
  <c r="H11" i="11" s="1"/>
  <c r="H44" i="11" s="1"/>
  <c r="G38" i="10"/>
  <c r="G11" i="11" s="1"/>
  <c r="G44" i="11" s="1"/>
  <c r="AX48" i="16"/>
  <c r="C24" i="10"/>
  <c r="C25" i="10" s="1"/>
  <c r="D8" i="8"/>
  <c r="A8" i="8"/>
  <c r="C8" i="8"/>
  <c r="E8" i="8"/>
  <c r="O26" i="9"/>
  <c r="O13" i="9"/>
  <c r="F6" i="8"/>
  <c r="A6" i="8"/>
  <c r="B6" i="8"/>
  <c r="C6" i="8"/>
  <c r="D6" i="8"/>
  <c r="D49" i="6"/>
  <c r="D21" i="13" s="1"/>
  <c r="F46" i="11"/>
  <c r="F24" i="10"/>
  <c r="F25" i="10" s="1"/>
  <c r="D46" i="11"/>
  <c r="D24" i="10"/>
  <c r="D25" i="10" s="1"/>
  <c r="E46" i="11"/>
  <c r="E24" i="10"/>
  <c r="E25" i="10" s="1"/>
  <c r="B46" i="11"/>
  <c r="B24" i="10"/>
  <c r="B25" i="10" s="1"/>
  <c r="D7" i="8"/>
  <c r="E7" i="8"/>
  <c r="C7" i="8"/>
  <c r="A7" i="8"/>
  <c r="B7" i="8"/>
  <c r="F7" i="8"/>
  <c r="O24" i="9"/>
  <c r="C27" i="9" a="1"/>
  <c r="C27" i="9" s="1"/>
  <c r="C28" i="9" s="1"/>
  <c r="C30" i="9" s="1"/>
  <c r="B6" i="13"/>
  <c r="G32" i="12"/>
  <c r="C32" i="12"/>
  <c r="D32" i="12"/>
  <c r="E32" i="12"/>
  <c r="H32" i="12"/>
  <c r="B32" i="12"/>
  <c r="B33" i="12" s="1"/>
  <c r="F32" i="12"/>
  <c r="D5" i="8"/>
  <c r="C5" i="8"/>
  <c r="B5" i="8"/>
  <c r="F5" i="8"/>
  <c r="E5" i="8"/>
  <c r="A5" i="8"/>
  <c r="F44" i="11"/>
  <c r="BB47" i="9"/>
  <c r="AT47" i="9"/>
  <c r="AL47" i="9"/>
  <c r="AD47" i="9"/>
  <c r="V47" i="9"/>
  <c r="N47" i="9"/>
  <c r="F47" i="9"/>
  <c r="BI47" i="9"/>
  <c r="BA47" i="9"/>
  <c r="AS47" i="9"/>
  <c r="AK47" i="9"/>
  <c r="AC47" i="9"/>
  <c r="U47" i="9"/>
  <c r="M47" i="9"/>
  <c r="E47" i="9"/>
  <c r="BG47" i="9"/>
  <c r="AY47" i="9"/>
  <c r="AQ47" i="9"/>
  <c r="AI47" i="9"/>
  <c r="AA47" i="9"/>
  <c r="S47" i="9"/>
  <c r="K47" i="9"/>
  <c r="C47" i="9"/>
  <c r="BF47" i="9"/>
  <c r="AX47" i="9"/>
  <c r="AP47" i="9"/>
  <c r="AH47" i="9"/>
  <c r="Z47" i="9"/>
  <c r="R47" i="9"/>
  <c r="J47" i="9"/>
  <c r="B47" i="9"/>
  <c r="BD47" i="9"/>
  <c r="AV47" i="9"/>
  <c r="AN47" i="9"/>
  <c r="AF47" i="9"/>
  <c r="X47" i="9"/>
  <c r="P47" i="9"/>
  <c r="H47" i="9"/>
  <c r="BC47" i="9"/>
  <c r="AG47" i="9"/>
  <c r="L47" i="9"/>
  <c r="AR47" i="9"/>
  <c r="AZ47" i="9"/>
  <c r="AE47" i="9"/>
  <c r="I47" i="9"/>
  <c r="C36" i="3"/>
  <c r="G22" i="9" s="1"/>
  <c r="F52" i="9" s="1"/>
  <c r="R52" i="9" s="1"/>
  <c r="AD52" i="9" s="1"/>
  <c r="AP52" i="9" s="1"/>
  <c r="BB52" i="9" s="1"/>
  <c r="AW47" i="9"/>
  <c r="AB47" i="9"/>
  <c r="G47" i="9"/>
  <c r="AU47" i="9"/>
  <c r="Y47" i="9"/>
  <c r="D47" i="9"/>
  <c r="D34" i="3"/>
  <c r="K34" i="3" s="1"/>
  <c r="W47" i="9"/>
  <c r="AO47" i="9"/>
  <c r="T47" i="9"/>
  <c r="BH47" i="9"/>
  <c r="AM47" i="9"/>
  <c r="Q47" i="9"/>
  <c r="BE47" i="9"/>
  <c r="AJ47" i="9"/>
  <c r="O47" i="9"/>
  <c r="E44" i="11"/>
  <c r="D44" i="11"/>
  <c r="D27" i="9" a="1"/>
  <c r="D27" i="9" s="1"/>
  <c r="D28" i="9" s="1"/>
  <c r="D30" i="9" s="1"/>
  <c r="C44" i="11"/>
  <c r="E39" i="10"/>
  <c r="F39" i="10"/>
  <c r="D39" i="10"/>
  <c r="C39" i="10"/>
  <c r="B39" i="10"/>
  <c r="B40" i="10" s="1"/>
  <c r="B30" i="9"/>
  <c r="B31" i="9" s="1"/>
  <c r="B45" i="10" s="1"/>
  <c r="C24" i="1" s="1"/>
  <c r="O30" i="17" l="1"/>
  <c r="C31" i="17"/>
  <c r="D31" i="17" s="1"/>
  <c r="E31" i="17" s="1"/>
  <c r="F31" i="17" s="1"/>
  <c r="G31" i="17" s="1"/>
  <c r="H31" i="17" s="1"/>
  <c r="I31" i="17" s="1"/>
  <c r="J31" i="17" s="1"/>
  <c r="K31" i="17" s="1"/>
  <c r="L31" i="17" s="1"/>
  <c r="M31" i="17" s="1"/>
  <c r="N31" i="17" s="1"/>
  <c r="Y68" i="16"/>
  <c r="E25" i="13"/>
  <c r="AF55" i="16"/>
  <c r="AF56" i="16" s="1"/>
  <c r="AF58" i="16" s="1"/>
  <c r="AW68" i="16"/>
  <c r="G25" i="13"/>
  <c r="AH55" i="16"/>
  <c r="AH56" i="16" s="1"/>
  <c r="AH58" i="16" s="1"/>
  <c r="BA55" i="16"/>
  <c r="BA56" i="16" s="1"/>
  <c r="BA58" i="16" s="1"/>
  <c r="H23" i="13"/>
  <c r="B29" i="16"/>
  <c r="BI55" i="16"/>
  <c r="BI56" i="16" s="1"/>
  <c r="BI58" i="16" s="1"/>
  <c r="G17" i="9"/>
  <c r="G17" i="16"/>
  <c r="M55" i="16"/>
  <c r="M56" i="16" s="1"/>
  <c r="M58" i="16" s="1"/>
  <c r="H39" i="10"/>
  <c r="G39" i="10"/>
  <c r="G40" i="10" s="1"/>
  <c r="B21" i="10"/>
  <c r="B17" i="12"/>
  <c r="B21" i="12" s="1"/>
  <c r="AX55" i="16"/>
  <c r="AX56" i="16" s="1"/>
  <c r="AX58" i="16" s="1"/>
  <c r="A10" i="8" a="1"/>
  <c r="C10" i="8" s="1"/>
  <c r="C16" i="10"/>
  <c r="E21" i="13"/>
  <c r="B5" i="12"/>
  <c r="B8" i="12" s="1"/>
  <c r="B5" i="13" s="1"/>
  <c r="B10" i="13" s="1"/>
  <c r="F21" i="13"/>
  <c r="H21" i="13"/>
  <c r="G21" i="13"/>
  <c r="G33" i="12"/>
  <c r="E33" i="12"/>
  <c r="F40" i="10"/>
  <c r="H33" i="12"/>
  <c r="D40" i="10"/>
  <c r="D33" i="12"/>
  <c r="M34" i="3"/>
  <c r="N34" i="3"/>
  <c r="O34" i="3"/>
  <c r="H38" i="3"/>
  <c r="H54" i="3" s="1"/>
  <c r="H57" i="3" s="1"/>
  <c r="P34" i="3"/>
  <c r="L34" i="3"/>
  <c r="I38" i="3"/>
  <c r="I54" i="3" s="1"/>
  <c r="I57" i="3" s="1"/>
  <c r="Q34" i="3"/>
  <c r="R34" i="3"/>
  <c r="K38" i="3"/>
  <c r="K54" i="3" s="1"/>
  <c r="K57" i="3" s="1"/>
  <c r="G38" i="3"/>
  <c r="G54" i="3" s="1"/>
  <c r="G57" i="3" s="1"/>
  <c r="X57" i="9"/>
  <c r="X58" i="9" s="1"/>
  <c r="X60" i="9" s="1"/>
  <c r="AD57" i="9"/>
  <c r="AD58" i="9" s="1"/>
  <c r="AD60" i="9" s="1"/>
  <c r="Q57" i="9"/>
  <c r="Q58" i="9" s="1"/>
  <c r="Q60" i="9" s="1"/>
  <c r="Y57" i="9"/>
  <c r="Y58" i="9" s="1"/>
  <c r="Y60" i="9" s="1"/>
  <c r="AF57" i="9"/>
  <c r="AF58" i="9" s="1"/>
  <c r="AF60" i="9" s="1"/>
  <c r="AH57" i="9"/>
  <c r="AH58" i="9" s="1"/>
  <c r="AH60" i="9" s="1"/>
  <c r="AI57" i="9"/>
  <c r="AI58" i="9" s="1"/>
  <c r="AI60" i="9" s="1"/>
  <c r="AK57" i="9"/>
  <c r="AK58" i="9" s="1"/>
  <c r="AK60" i="9" s="1"/>
  <c r="AL57" i="9"/>
  <c r="AL58" i="9" s="1"/>
  <c r="AA57" i="9"/>
  <c r="AA58" i="9" s="1"/>
  <c r="AA60" i="9" s="1"/>
  <c r="C40" i="10"/>
  <c r="AM57" i="9"/>
  <c r="AM58" i="9" s="1"/>
  <c r="AM60" i="9" s="1"/>
  <c r="AU57" i="9"/>
  <c r="AU58" i="9" s="1"/>
  <c r="AU60" i="9" s="1"/>
  <c r="AR57" i="9"/>
  <c r="AR58" i="9" s="1"/>
  <c r="AR60" i="9" s="1"/>
  <c r="AP57" i="9"/>
  <c r="AP58" i="9" s="1"/>
  <c r="AP60" i="9" s="1"/>
  <c r="AQ57" i="9"/>
  <c r="AQ58" i="9" s="1"/>
  <c r="AQ60" i="9" s="1"/>
  <c r="AT57" i="9"/>
  <c r="AT58" i="9" s="1"/>
  <c r="AT60" i="9" s="1"/>
  <c r="BH57" i="9"/>
  <c r="BH58" i="9" s="1"/>
  <c r="BH60" i="9" s="1"/>
  <c r="G57" i="9"/>
  <c r="G58" i="9" s="1"/>
  <c r="G60" i="9" s="1"/>
  <c r="L57" i="9"/>
  <c r="L58" i="9" s="1"/>
  <c r="L60" i="9" s="1"/>
  <c r="AV57" i="9"/>
  <c r="AV58" i="9" s="1"/>
  <c r="AV60" i="9" s="1"/>
  <c r="AX57" i="9"/>
  <c r="AX58" i="9" s="1"/>
  <c r="AY57" i="9"/>
  <c r="AY58" i="9" s="1"/>
  <c r="AY60" i="9" s="1"/>
  <c r="BA57" i="9"/>
  <c r="BA58" i="9" s="1"/>
  <c r="BA60" i="9" s="1"/>
  <c r="BB57" i="9"/>
  <c r="BB58" i="9" s="1"/>
  <c r="BB60" i="9" s="1"/>
  <c r="T57" i="9"/>
  <c r="T58" i="9" s="1"/>
  <c r="T60" i="9" s="1"/>
  <c r="BD57" i="9"/>
  <c r="BD58" i="9" s="1"/>
  <c r="BD60" i="9" s="1"/>
  <c r="BF57" i="9"/>
  <c r="BF58" i="9" s="1"/>
  <c r="BF60" i="9" s="1"/>
  <c r="BG57" i="9"/>
  <c r="BG58" i="9" s="1"/>
  <c r="BG60" i="9" s="1"/>
  <c r="BI57" i="9"/>
  <c r="BI58" i="9" s="1"/>
  <c r="BI60" i="9" s="1"/>
  <c r="C33" i="12"/>
  <c r="F57" i="9"/>
  <c r="F58" i="9" s="1"/>
  <c r="F60" i="9" s="1"/>
  <c r="E57" i="9"/>
  <c r="E58" i="9" s="1"/>
  <c r="E60" i="9" s="1"/>
  <c r="O57" i="9"/>
  <c r="O58" i="9" s="1"/>
  <c r="O60" i="9" s="1"/>
  <c r="W57" i="9"/>
  <c r="W58" i="9" s="1"/>
  <c r="W60" i="9" s="1"/>
  <c r="D36" i="3"/>
  <c r="E22" i="9"/>
  <c r="D52" i="9" s="1"/>
  <c r="P52" i="9" s="1"/>
  <c r="AB52" i="9" s="1"/>
  <c r="AN52" i="9" s="1"/>
  <c r="AZ52" i="9" s="1"/>
  <c r="AZ57" i="9" s="1"/>
  <c r="AZ58" i="9" s="1"/>
  <c r="AZ60" i="9" s="1"/>
  <c r="H57" i="9"/>
  <c r="H58" i="9" s="1"/>
  <c r="H60" i="9" s="1"/>
  <c r="J57" i="9"/>
  <c r="J58" i="9" s="1"/>
  <c r="J60" i="9" s="1"/>
  <c r="K57" i="9"/>
  <c r="K58" i="9" s="1"/>
  <c r="K60" i="9" s="1"/>
  <c r="M57" i="9"/>
  <c r="M58" i="9" s="1"/>
  <c r="M60" i="9" s="1"/>
  <c r="N57" i="9"/>
  <c r="N58" i="9" s="1"/>
  <c r="AE57" i="9"/>
  <c r="AE58" i="9" s="1"/>
  <c r="AE60" i="9" s="1"/>
  <c r="Z57" i="9"/>
  <c r="Z58" i="9" s="1"/>
  <c r="AC57" i="9"/>
  <c r="AC58" i="9" s="1"/>
  <c r="AC60" i="9" s="1"/>
  <c r="AO57" i="9"/>
  <c r="AO58" i="9" s="1"/>
  <c r="AO60" i="9" s="1"/>
  <c r="AW57" i="9"/>
  <c r="AW58" i="9" s="1"/>
  <c r="AW60" i="9" s="1"/>
  <c r="BC57" i="9"/>
  <c r="BC58" i="9" s="1"/>
  <c r="BC60" i="9" s="1"/>
  <c r="B57" i="9"/>
  <c r="B58" i="9" s="1"/>
  <c r="C57" i="9"/>
  <c r="C58" i="9" s="1"/>
  <c r="C60" i="9" s="1"/>
  <c r="C31" i="9"/>
  <c r="D31" i="9" s="1"/>
  <c r="E40" i="10"/>
  <c r="AJ57" i="9"/>
  <c r="AJ58" i="9" s="1"/>
  <c r="AJ60" i="9" s="1"/>
  <c r="R57" i="9"/>
  <c r="R58" i="9" s="1"/>
  <c r="R60" i="9" s="1"/>
  <c r="S57" i="9"/>
  <c r="S58" i="9" s="1"/>
  <c r="S60" i="9" s="1"/>
  <c r="V57" i="9"/>
  <c r="V58" i="9" s="1"/>
  <c r="V60" i="9" s="1"/>
  <c r="F33" i="12"/>
  <c r="B80" i="17" l="1"/>
  <c r="B61" i="17"/>
  <c r="D25" i="13"/>
  <c r="M68" i="16"/>
  <c r="AK68" i="16"/>
  <c r="O38" i="3"/>
  <c r="O54" i="3" s="1"/>
  <c r="O57" i="3" s="1"/>
  <c r="K17" i="16"/>
  <c r="K26" i="16" s="1"/>
  <c r="K27" i="16" s="1"/>
  <c r="K29" i="16" s="1"/>
  <c r="K17" i="9"/>
  <c r="BI68" i="16"/>
  <c r="H25" i="13"/>
  <c r="J17" i="16"/>
  <c r="J26" i="16" s="1"/>
  <c r="J27" i="16" s="1"/>
  <c r="J29" i="16" s="1"/>
  <c r="J17" i="9"/>
  <c r="J27" i="9" s="1" a="1"/>
  <c r="B30" i="16"/>
  <c r="B25" i="13"/>
  <c r="R38" i="3"/>
  <c r="R54" i="3" s="1"/>
  <c r="R57" i="3" s="1"/>
  <c r="N17" i="9"/>
  <c r="N17" i="16"/>
  <c r="N26" i="16" s="1"/>
  <c r="N27" i="16" s="1"/>
  <c r="N29" i="16" s="1"/>
  <c r="M38" i="3"/>
  <c r="M54" i="3" s="1"/>
  <c r="M57" i="3" s="1"/>
  <c r="I17" i="16"/>
  <c r="I17" i="9"/>
  <c r="Q38" i="3"/>
  <c r="Q54" i="3" s="1"/>
  <c r="Q57" i="3" s="1"/>
  <c r="M17" i="16"/>
  <c r="M26" i="16" s="1"/>
  <c r="M27" i="16" s="1"/>
  <c r="M29" i="16" s="1"/>
  <c r="M17" i="9"/>
  <c r="M27" i="9" s="1" a="1"/>
  <c r="G26" i="16"/>
  <c r="G27" i="16" s="1"/>
  <c r="L38" i="3"/>
  <c r="L54" i="3" s="1"/>
  <c r="L57" i="3" s="1"/>
  <c r="H17" i="9"/>
  <c r="H17" i="16"/>
  <c r="P38" i="3"/>
  <c r="P54" i="3" s="1"/>
  <c r="P57" i="3" s="1"/>
  <c r="L17" i="9"/>
  <c r="L17" i="16"/>
  <c r="F25" i="13"/>
  <c r="H40" i="10"/>
  <c r="I52" i="9"/>
  <c r="U52" i="9" s="1"/>
  <c r="AG52" i="9" s="1"/>
  <c r="AS52" i="9" s="1"/>
  <c r="BE52" i="9" s="1"/>
  <c r="BE57" i="9" s="1"/>
  <c r="BE58" i="9" s="1"/>
  <c r="BE60" i="9" s="1"/>
  <c r="G27" i="9" a="1"/>
  <c r="G27" i="9" s="1"/>
  <c r="G28" i="9" s="1"/>
  <c r="G30" i="9" s="1"/>
  <c r="B24" i="12"/>
  <c r="B29" i="13" s="1"/>
  <c r="B30" i="13" s="1"/>
  <c r="B27" i="12"/>
  <c r="AL60" i="9"/>
  <c r="B60" i="9"/>
  <c r="AX60" i="9"/>
  <c r="Z60" i="9"/>
  <c r="N60" i="9"/>
  <c r="AN57" i="9"/>
  <c r="AN58" i="9" s="1"/>
  <c r="AN60" i="9" s="1"/>
  <c r="D57" i="9"/>
  <c r="D58" i="9" s="1"/>
  <c r="D60" i="9" s="1"/>
  <c r="AB57" i="9"/>
  <c r="AB58" i="9" s="1"/>
  <c r="AB60" i="9" s="1"/>
  <c r="P57" i="9"/>
  <c r="P58" i="9" s="1"/>
  <c r="P60" i="9" s="1"/>
  <c r="H9" i="1"/>
  <c r="E16" i="10"/>
  <c r="E10" i="8"/>
  <c r="D10" i="8"/>
  <c r="B10" i="8"/>
  <c r="A10" i="8"/>
  <c r="F16" i="10"/>
  <c r="B16" i="10"/>
  <c r="B28" i="10" s="1"/>
  <c r="B29" i="10" s="1"/>
  <c r="D16" i="10"/>
  <c r="H16" i="10"/>
  <c r="D38" i="3"/>
  <c r="J36" i="3"/>
  <c r="J38" i="3" s="1"/>
  <c r="J54" i="3" s="1"/>
  <c r="J57" i="3" s="1"/>
  <c r="N36" i="3"/>
  <c r="N38" i="3" s="1"/>
  <c r="N54" i="3" s="1"/>
  <c r="N57" i="3" s="1"/>
  <c r="O22" i="9"/>
  <c r="E27" i="9" a="1"/>
  <c r="E27" i="9" s="1"/>
  <c r="F27" i="9" a="1"/>
  <c r="F27" i="9" s="1"/>
  <c r="F28" i="9" s="1"/>
  <c r="C61" i="17" l="1"/>
  <c r="D61" i="17" s="1"/>
  <c r="E61" i="17" s="1"/>
  <c r="F61" i="17" s="1"/>
  <c r="G61" i="17" s="1"/>
  <c r="H61" i="17" s="1"/>
  <c r="I61" i="17" s="1"/>
  <c r="J61" i="17" s="1"/>
  <c r="K61" i="17" s="1"/>
  <c r="L61" i="17" s="1"/>
  <c r="M61" i="17" s="1"/>
  <c r="H27" i="9" a="1"/>
  <c r="H27" i="9" s="1"/>
  <c r="H28" i="9" s="1"/>
  <c r="H30" i="9" s="1"/>
  <c r="N27" i="9" a="1"/>
  <c r="N27" i="9" s="1"/>
  <c r="N28" i="9" s="1"/>
  <c r="N30" i="9" s="1"/>
  <c r="K27" i="9" a="1"/>
  <c r="K27" i="9" s="1"/>
  <c r="K28" i="9" s="1"/>
  <c r="K30" i="9" s="1"/>
  <c r="L27" i="9" a="1"/>
  <c r="L27" i="9" s="1"/>
  <c r="L28" i="9" s="1"/>
  <c r="L30" i="9" s="1"/>
  <c r="I27" i="9" a="1"/>
  <c r="I27" i="9" s="1"/>
  <c r="I28" i="9" s="1"/>
  <c r="I30" i="9" s="1"/>
  <c r="AS57" i="9"/>
  <c r="AS58" i="9" s="1"/>
  <c r="AS60" i="9" s="1"/>
  <c r="AW70" i="9" s="1"/>
  <c r="O17" i="16"/>
  <c r="G29" i="16"/>
  <c r="L26" i="16" a="1"/>
  <c r="L26" i="16"/>
  <c r="L27" i="16" s="1"/>
  <c r="L29" i="16" s="1"/>
  <c r="B10" i="12"/>
  <c r="L16" i="1"/>
  <c r="M27" i="9"/>
  <c r="J27" i="9"/>
  <c r="J28" i="9" s="1"/>
  <c r="J30" i="9" s="1"/>
  <c r="O17" i="9"/>
  <c r="I26" i="16"/>
  <c r="I27" i="16" s="1"/>
  <c r="I29" i="16" s="1"/>
  <c r="H26" i="16"/>
  <c r="C30" i="16"/>
  <c r="D30" i="16" s="1"/>
  <c r="E30" i="16" s="1"/>
  <c r="B26" i="13"/>
  <c r="I57" i="9"/>
  <c r="I58" i="9" s="1"/>
  <c r="I60" i="9" s="1"/>
  <c r="M70" i="9" s="1"/>
  <c r="H44" i="10"/>
  <c r="U57" i="9"/>
  <c r="U58" i="9" s="1"/>
  <c r="U60" i="9" s="1"/>
  <c r="Y70" i="9" s="1"/>
  <c r="BI70" i="9"/>
  <c r="AG57" i="9"/>
  <c r="AG58" i="9" s="1"/>
  <c r="AG60" i="9" s="1"/>
  <c r="AK70" i="9" s="1"/>
  <c r="F30" i="9"/>
  <c r="B31" i="10"/>
  <c r="B34" i="10" s="1"/>
  <c r="D54" i="3"/>
  <c r="D57" i="3" s="1"/>
  <c r="G45" i="11" s="1"/>
  <c r="G27" i="11" s="1"/>
  <c r="E28" i="9"/>
  <c r="B81" i="17" l="1"/>
  <c r="N61" i="17"/>
  <c r="G44" i="10"/>
  <c r="O27" i="9"/>
  <c r="M28" i="9"/>
  <c r="M30" i="9" s="1"/>
  <c r="O26" i="16"/>
  <c r="O28" i="9"/>
  <c r="E44" i="10"/>
  <c r="F30" i="16"/>
  <c r="G30" i="16" s="1"/>
  <c r="H27" i="16"/>
  <c r="D44" i="10"/>
  <c r="F44" i="10"/>
  <c r="B21" i="8"/>
  <c r="C23" i="1"/>
  <c r="C44" i="10"/>
  <c r="B22" i="11"/>
  <c r="B24" i="11" s="1"/>
  <c r="D45" i="11"/>
  <c r="B8" i="13"/>
  <c r="F15" i="13"/>
  <c r="F17" i="13" s="1"/>
  <c r="D15" i="13"/>
  <c r="D17" i="13" s="1"/>
  <c r="C15" i="13"/>
  <c r="C17" i="13" s="1"/>
  <c r="F45" i="11"/>
  <c r="H45" i="11"/>
  <c r="H15" i="13"/>
  <c r="H17" i="13" s="1"/>
  <c r="C45" i="11"/>
  <c r="L19" i="1"/>
  <c r="G15" i="13"/>
  <c r="G17" i="13" s="1"/>
  <c r="E45" i="11"/>
  <c r="E15" i="13"/>
  <c r="E17" i="13" s="1"/>
  <c r="B45" i="11"/>
  <c r="B27" i="11" s="1"/>
  <c r="B28" i="11" s="1"/>
  <c r="B8" i="10"/>
  <c r="G47" i="11"/>
  <c r="G28" i="11"/>
  <c r="E30" i="9"/>
  <c r="O61" i="17" l="1"/>
  <c r="P61" i="17" s="1"/>
  <c r="Q61" i="17" s="1"/>
  <c r="R61" i="17" s="1"/>
  <c r="S61" i="17" s="1"/>
  <c r="T61" i="17" s="1"/>
  <c r="U61" i="17" s="1"/>
  <c r="V61" i="17" s="1"/>
  <c r="W61" i="17" s="1"/>
  <c r="X61" i="17" s="1"/>
  <c r="Y61" i="17" s="1"/>
  <c r="Z61" i="17" s="1"/>
  <c r="AA61" i="17" s="1"/>
  <c r="AB61" i="17" s="1"/>
  <c r="AC61" i="17" s="1"/>
  <c r="AD61" i="17" s="1"/>
  <c r="AE61" i="17" s="1"/>
  <c r="AF61" i="17" s="1"/>
  <c r="AG61" i="17" s="1"/>
  <c r="AH61" i="17" s="1"/>
  <c r="AI61" i="17" s="1"/>
  <c r="AJ61" i="17" s="1"/>
  <c r="AK61" i="17" s="1"/>
  <c r="AL61" i="17" s="1"/>
  <c r="AM61" i="17" s="1"/>
  <c r="AN61" i="17" s="1"/>
  <c r="AO61" i="17" s="1"/>
  <c r="AP61" i="17" s="1"/>
  <c r="AQ61" i="17" s="1"/>
  <c r="AR61" i="17" s="1"/>
  <c r="AS61" i="17" s="1"/>
  <c r="AT61" i="17" s="1"/>
  <c r="AU61" i="17" s="1"/>
  <c r="AV61" i="17" s="1"/>
  <c r="AW61" i="17" s="1"/>
  <c r="AX61" i="17" s="1"/>
  <c r="AY61" i="17" s="1"/>
  <c r="AZ61" i="17" s="1"/>
  <c r="BA61" i="17" s="1"/>
  <c r="BB61" i="17" s="1"/>
  <c r="BC61" i="17" s="1"/>
  <c r="BD61" i="17" s="1"/>
  <c r="BE61" i="17" s="1"/>
  <c r="BF61" i="17" s="1"/>
  <c r="BG61" i="17" s="1"/>
  <c r="BH61" i="17" s="1"/>
  <c r="BI61" i="17" s="1"/>
  <c r="C47" i="11"/>
  <c r="C27" i="11"/>
  <c r="D17" i="12"/>
  <c r="D21" i="12" s="1"/>
  <c r="D24" i="12" s="1"/>
  <c r="D29" i="13" s="1"/>
  <c r="D30" i="13" s="1"/>
  <c r="D21" i="10"/>
  <c r="D28" i="10" s="1"/>
  <c r="D27" i="11"/>
  <c r="D28" i="11" s="1"/>
  <c r="H29" i="16"/>
  <c r="O27" i="16"/>
  <c r="H27" i="11"/>
  <c r="H28" i="11" s="1"/>
  <c r="F27" i="11"/>
  <c r="F28" i="11" s="1"/>
  <c r="D47" i="11"/>
  <c r="E27" i="11"/>
  <c r="E28" i="11" s="1"/>
  <c r="C23" i="11"/>
  <c r="B47" i="11"/>
  <c r="F47" i="11"/>
  <c r="E47" i="11"/>
  <c r="C28" i="11"/>
  <c r="H47" i="11"/>
  <c r="B30" i="11"/>
  <c r="B37" i="11" s="1"/>
  <c r="B36" i="11"/>
  <c r="B13" i="11"/>
  <c r="O30" i="9"/>
  <c r="E31" i="9"/>
  <c r="B79" i="17" l="1"/>
  <c r="O29" i="16"/>
  <c r="C25" i="13"/>
  <c r="F21" i="10"/>
  <c r="F28" i="10" s="1"/>
  <c r="F17" i="12"/>
  <c r="F21" i="12" s="1"/>
  <c r="G21" i="10"/>
  <c r="G28" i="10" s="1"/>
  <c r="G17" i="12"/>
  <c r="G21" i="12" s="1"/>
  <c r="C17" i="12"/>
  <c r="C21" i="12" s="1"/>
  <c r="F9" i="1" s="1"/>
  <c r="C21" i="10"/>
  <c r="C28" i="10" s="1"/>
  <c r="C29" i="10" s="1"/>
  <c r="D29" i="10" s="1"/>
  <c r="D27" i="12"/>
  <c r="E21" i="10"/>
  <c r="E28" i="10" s="1"/>
  <c r="E17" i="12"/>
  <c r="E21" i="12" s="1"/>
  <c r="H21" i="10"/>
  <c r="H28" i="10" s="1"/>
  <c r="H17" i="12"/>
  <c r="H21" i="12" s="1"/>
  <c r="H30" i="16"/>
  <c r="F31" i="9"/>
  <c r="G31" i="9" s="1"/>
  <c r="H31" i="9" s="1"/>
  <c r="I31" i="9" s="1"/>
  <c r="J31" i="9" s="1"/>
  <c r="K31" i="9" s="1"/>
  <c r="L31" i="9" s="1"/>
  <c r="M31" i="9" s="1"/>
  <c r="N31" i="9" s="1"/>
  <c r="C45" i="10" s="1"/>
  <c r="D24" i="1" s="1"/>
  <c r="B38" i="11"/>
  <c r="B14" i="11"/>
  <c r="B16" i="11" s="1"/>
  <c r="D31" i="10" l="1"/>
  <c r="D34" i="10" s="1"/>
  <c r="D22" i="11" s="1"/>
  <c r="C31" i="10"/>
  <c r="C34" i="10" s="1"/>
  <c r="D23" i="1" s="1"/>
  <c r="G27" i="12"/>
  <c r="G24" i="12"/>
  <c r="G29" i="13" s="1"/>
  <c r="G30" i="13" s="1"/>
  <c r="E24" i="12"/>
  <c r="E29" i="13" s="1"/>
  <c r="E30" i="13" s="1"/>
  <c r="E27" i="12"/>
  <c r="F24" i="12"/>
  <c r="F29" i="13" s="1"/>
  <c r="F30" i="13" s="1"/>
  <c r="F27" i="12"/>
  <c r="I30" i="16"/>
  <c r="J30" i="16" s="1"/>
  <c r="K30" i="16" s="1"/>
  <c r="L30" i="16" s="1"/>
  <c r="M30" i="16" s="1"/>
  <c r="N30" i="16" s="1"/>
  <c r="H24" i="12"/>
  <c r="H29" i="13" s="1"/>
  <c r="H30" i="13" s="1"/>
  <c r="H27" i="12"/>
  <c r="L29" i="1"/>
  <c r="C24" i="12"/>
  <c r="C29" i="13" s="1"/>
  <c r="C30" i="13" s="1"/>
  <c r="C27" i="12"/>
  <c r="B61" i="9"/>
  <c r="B80" i="9"/>
  <c r="E29" i="10"/>
  <c r="E31" i="10"/>
  <c r="E34" i="10" s="1"/>
  <c r="E23" i="1" l="1"/>
  <c r="D21" i="8"/>
  <c r="C21" i="8"/>
  <c r="C22" i="11"/>
  <c r="C24" i="11" s="1"/>
  <c r="C30" i="11" s="1"/>
  <c r="C37" i="11" s="1"/>
  <c r="C26" i="13"/>
  <c r="B78" i="16"/>
  <c r="B59" i="16"/>
  <c r="E21" i="8"/>
  <c r="F23" i="1"/>
  <c r="E22" i="11"/>
  <c r="F31" i="10"/>
  <c r="F34" i="10" s="1"/>
  <c r="F29" i="10"/>
  <c r="C61" i="9"/>
  <c r="D61" i="9" s="1"/>
  <c r="E61" i="9" s="1"/>
  <c r="F61" i="9" s="1"/>
  <c r="G61" i="9" s="1"/>
  <c r="H61" i="9" s="1"/>
  <c r="I61" i="9" s="1"/>
  <c r="J61" i="9" s="1"/>
  <c r="K61" i="9" s="1"/>
  <c r="L61" i="9" s="1"/>
  <c r="M61" i="9" s="1"/>
  <c r="D23" i="11" l="1"/>
  <c r="E23" i="11" s="1"/>
  <c r="E24" i="11" s="1"/>
  <c r="E30" i="11" s="1"/>
  <c r="E37" i="11" s="1"/>
  <c r="C13" i="11"/>
  <c r="C38" i="11" s="1"/>
  <c r="C36" i="11"/>
  <c r="C59" i="16"/>
  <c r="F21" i="8"/>
  <c r="G23" i="1"/>
  <c r="D45" i="10"/>
  <c r="E24" i="1" s="1"/>
  <c r="G29" i="10"/>
  <c r="G31" i="10"/>
  <c r="G34" i="10" s="1"/>
  <c r="F22" i="11"/>
  <c r="B81" i="9"/>
  <c r="N61" i="9"/>
  <c r="O61" i="9" s="1"/>
  <c r="P61" i="9" s="1"/>
  <c r="Q61" i="9" s="1"/>
  <c r="R61" i="9" s="1"/>
  <c r="S61" i="9" s="1"/>
  <c r="T61" i="9" s="1"/>
  <c r="U61" i="9" s="1"/>
  <c r="V61" i="9" s="1"/>
  <c r="W61" i="9" s="1"/>
  <c r="X61" i="9" s="1"/>
  <c r="Y61" i="9" s="1"/>
  <c r="F23" i="11" l="1"/>
  <c r="G23" i="11" s="1"/>
  <c r="C14" i="11"/>
  <c r="C16" i="11" s="1"/>
  <c r="D24" i="11"/>
  <c r="D36" i="11" s="1"/>
  <c r="D59" i="16"/>
  <c r="G21" i="8"/>
  <c r="H23" i="1"/>
  <c r="Z61" i="9"/>
  <c r="AA61" i="9" s="1"/>
  <c r="AB61" i="9" s="1"/>
  <c r="AC61" i="9" s="1"/>
  <c r="AD61" i="9" s="1"/>
  <c r="AE61" i="9" s="1"/>
  <c r="AF61" i="9" s="1"/>
  <c r="AG61" i="9" s="1"/>
  <c r="AH61" i="9" s="1"/>
  <c r="AI61" i="9" s="1"/>
  <c r="AJ61" i="9" s="1"/>
  <c r="AK61" i="9" s="1"/>
  <c r="E45" i="10"/>
  <c r="F24" i="1" s="1"/>
  <c r="E13" i="11"/>
  <c r="E38" i="11" s="1"/>
  <c r="E36" i="11"/>
  <c r="G22" i="11"/>
  <c r="H29" i="10"/>
  <c r="H31" i="10"/>
  <c r="H34" i="10" s="1"/>
  <c r="F24" i="11" l="1"/>
  <c r="F30" i="11" s="1"/>
  <c r="F37" i="11" s="1"/>
  <c r="D13" i="11"/>
  <c r="D14" i="11" s="1"/>
  <c r="D16" i="11" s="1"/>
  <c r="D30" i="11"/>
  <c r="D37" i="11" s="1"/>
  <c r="E59" i="16"/>
  <c r="H21" i="8"/>
  <c r="I23" i="1"/>
  <c r="AL61" i="9"/>
  <c r="F45" i="10"/>
  <c r="G24" i="1" s="1"/>
  <c r="E14" i="11"/>
  <c r="E16" i="11" s="1"/>
  <c r="H23" i="11"/>
  <c r="G24" i="11"/>
  <c r="G30" i="11" s="1"/>
  <c r="G37" i="11" s="1"/>
  <c r="F36" i="11"/>
  <c r="F13" i="11"/>
  <c r="H22" i="11"/>
  <c r="D38" i="11" l="1"/>
  <c r="F59" i="16"/>
  <c r="AM61" i="9"/>
  <c r="AN61" i="9" s="1"/>
  <c r="AO61" i="9" s="1"/>
  <c r="AP61" i="9" s="1"/>
  <c r="AQ61" i="9" s="1"/>
  <c r="AR61" i="9" s="1"/>
  <c r="AS61" i="9" s="1"/>
  <c r="AT61" i="9" s="1"/>
  <c r="AU61" i="9" s="1"/>
  <c r="AV61" i="9" s="1"/>
  <c r="AW61" i="9" s="1"/>
  <c r="G45" i="10" s="1"/>
  <c r="H24" i="1" s="1"/>
  <c r="H24" i="11"/>
  <c r="H30" i="11" s="1"/>
  <c r="H37" i="11" s="1"/>
  <c r="G13" i="11"/>
  <c r="G38" i="11" s="1"/>
  <c r="G36" i="11"/>
  <c r="F38" i="11"/>
  <c r="F14" i="11"/>
  <c r="F16" i="11" s="1"/>
  <c r="G59" i="16" l="1"/>
  <c r="H59" i="16" s="1"/>
  <c r="I59" i="16" s="1"/>
  <c r="J59" i="16" s="1"/>
  <c r="K59" i="16" s="1"/>
  <c r="L59" i="16" s="1"/>
  <c r="M59" i="16" s="1"/>
  <c r="AX61" i="9"/>
  <c r="AY61" i="9" s="1"/>
  <c r="AZ61" i="9" s="1"/>
  <c r="BA61" i="9" s="1"/>
  <c r="BB61" i="9" s="1"/>
  <c r="BC61" i="9" s="1"/>
  <c r="BD61" i="9" s="1"/>
  <c r="BE61" i="9" s="1"/>
  <c r="BF61" i="9" s="1"/>
  <c r="BG61" i="9" s="1"/>
  <c r="BH61" i="9" s="1"/>
  <c r="BI61" i="9" s="1"/>
  <c r="H36" i="11"/>
  <c r="H13" i="11"/>
  <c r="H38" i="11" s="1"/>
  <c r="G14" i="11"/>
  <c r="G16" i="11" s="1"/>
  <c r="D26" i="13" l="1"/>
  <c r="B79" i="16"/>
  <c r="N59" i="16"/>
  <c r="O59" i="16" s="1"/>
  <c r="P59" i="16" s="1"/>
  <c r="Q59" i="16" s="1"/>
  <c r="R59" i="16" s="1"/>
  <c r="S59" i="16" s="1"/>
  <c r="T59" i="16" s="1"/>
  <c r="U59" i="16" s="1"/>
  <c r="V59" i="16" s="1"/>
  <c r="W59" i="16" s="1"/>
  <c r="X59" i="16" s="1"/>
  <c r="Y59" i="16" s="1"/>
  <c r="B77" i="16"/>
  <c r="H45" i="10"/>
  <c r="I24" i="1" s="1"/>
  <c r="B79" i="9"/>
  <c r="H14" i="11"/>
  <c r="H16" i="11" s="1"/>
  <c r="Z59" i="16" l="1"/>
  <c r="AA59" i="16" s="1"/>
  <c r="AB59" i="16" s="1"/>
  <c r="AC59" i="16" s="1"/>
  <c r="AD59" i="16" s="1"/>
  <c r="AE59" i="16" s="1"/>
  <c r="AF59" i="16" s="1"/>
  <c r="AG59" i="16" s="1"/>
  <c r="AH59" i="16" s="1"/>
  <c r="AI59" i="16" s="1"/>
  <c r="AJ59" i="16" s="1"/>
  <c r="AK59" i="16" s="1"/>
  <c r="E26" i="13"/>
  <c r="B24" i="7"/>
  <c r="B31" i="7" s="1"/>
  <c r="AL59" i="16" l="1"/>
  <c r="AM59" i="16" s="1"/>
  <c r="AN59" i="16" s="1"/>
  <c r="AO59" i="16" s="1"/>
  <c r="AP59" i="16" s="1"/>
  <c r="AQ59" i="16" s="1"/>
  <c r="AR59" i="16" s="1"/>
  <c r="AS59" i="16" s="1"/>
  <c r="AT59" i="16" s="1"/>
  <c r="AU59" i="16" s="1"/>
  <c r="AV59" i="16" s="1"/>
  <c r="AW59" i="16" s="1"/>
  <c r="F26" i="13"/>
  <c r="B26" i="7"/>
  <c r="AX59" i="16" l="1"/>
  <c r="AY59" i="16" s="1"/>
  <c r="AZ59" i="16" s="1"/>
  <c r="BA59" i="16" s="1"/>
  <c r="BB59" i="16" s="1"/>
  <c r="BC59" i="16" s="1"/>
  <c r="BD59" i="16" s="1"/>
  <c r="BE59" i="16" s="1"/>
  <c r="BF59" i="16" s="1"/>
  <c r="BG59" i="16" s="1"/>
  <c r="BH59" i="16" s="1"/>
  <c r="BI59" i="16" s="1"/>
  <c r="G26" i="13"/>
  <c r="H26" i="13" l="1"/>
  <c r="B3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9" authorId="0" shapeId="0" xr:uid="{07C59B90-5556-4319-B8AA-DF4345356914}">
      <text>
        <r>
          <rPr>
            <sz val="10"/>
            <rFont val="Arial"/>
            <family val="2"/>
          </rPr>
          <t>Dotations aux amortissements : valeurs saisies manuellement (pas de tableau d'amortissement détaillé dans le modèle). Correspondent aux immobilisations du Bilan Prévisionnel.</t>
        </r>
      </text>
    </comment>
  </commentList>
</comments>
</file>

<file path=xl/sharedStrings.xml><?xml version="1.0" encoding="utf-8"?>
<sst xmlns="http://schemas.openxmlformats.org/spreadsheetml/2006/main" count="1347" uniqueCount="597">
  <si>
    <t>PLUME PARAGLIDERS</t>
  </si>
  <si>
    <t>Business Plan 2025-2031 • Tableau de Bord Exécutif</t>
  </si>
  <si>
    <t>📊 INDICATEURS CLÉS</t>
  </si>
  <si>
    <t>💼 PLAN DE FINANCEMENT</t>
  </si>
  <si>
    <t>📅 CRÉATION</t>
  </si>
  <si>
    <t>18 décembre 2025</t>
  </si>
  <si>
    <t>JB Chandelier</t>
  </si>
  <si>
    <t>55%</t>
  </si>
  <si>
    <t>Capital social</t>
  </si>
  <si>
    <t>Plan de financement</t>
  </si>
  <si>
    <t>Seuil rentabilité</t>
  </si>
  <si>
    <t>Marge nette/aile</t>
  </si>
  <si>
    <t>Thomas Pierre-Bes</t>
  </si>
  <si>
    <t>45%</t>
  </si>
  <si>
    <t>Emprunt 4 ans</t>
  </si>
  <si>
    <t>Avoir EURL JB (2027)</t>
  </si>
  <si>
    <t>📈 SCÉNARIOS DE VENTES (Nombre d'ailes)</t>
  </si>
  <si>
    <t>TOTAL</t>
  </si>
  <si>
    <t>🟠 Réaliste</t>
  </si>
  <si>
    <t>📋 CHARGES FIXES / AN</t>
  </si>
  <si>
    <t>🔴 Point Mort</t>
  </si>
  <si>
    <t>Masse salariale</t>
  </si>
  <si>
    <t>Investissement R&amp;D</t>
  </si>
  <si>
    <t>Exploitation</t>
  </si>
  <si>
    <t xml:space="preserve">💰 RÉSULTATS PRÉVISIONNELS - SCÉNARIO RÉALISTE </t>
  </si>
  <si>
    <t>🏦 EMPRUNT BANCAIRE</t>
  </si>
  <si>
    <t>Chiffre d'affaires</t>
  </si>
  <si>
    <t>Montant</t>
  </si>
  <si>
    <t>bénéfice net</t>
  </si>
  <si>
    <t>Durée</t>
  </si>
  <si>
    <t>Trésorerie cumulée</t>
  </si>
  <si>
    <t>Taux</t>
  </si>
  <si>
    <t>Échéance/an</t>
  </si>
  <si>
    <t>✅ POINTS CLÉS</t>
  </si>
  <si>
    <t>✓ Rentabilité dès 2027</t>
  </si>
  <si>
    <t>✓ Tréso toujours positive</t>
  </si>
  <si>
    <t>PLUME PARAGLIDERS - CHARGES FIXES</t>
  </si>
  <si>
    <t>lancement</t>
  </si>
  <si>
    <t>1. FRAIS DE LANCEMENT (One-shot)</t>
  </si>
  <si>
    <t>Poste</t>
  </si>
  <si>
    <t>Montant (€)</t>
  </si>
  <si>
    <t>Charte Graphique</t>
  </si>
  <si>
    <t>Création d'entreprise (Avocat)</t>
  </si>
  <si>
    <t>SOUS-TOTAL LANCEMENT</t>
  </si>
  <si>
    <t>1. MASSE SALARIALE ANNUELLE</t>
  </si>
  <si>
    <t>Note: ZFRR + ACRE. JB: prestation EURL 1 800€/mois. Thomas: 1 400€ brut/mois (coût employeur ~18 500€/an)</t>
  </si>
  <si>
    <t>Collaborateur</t>
  </si>
  <si>
    <t>Nb mois</t>
  </si>
  <si>
    <t>Type</t>
  </si>
  <si>
    <t>Charge annuelle (€)</t>
  </si>
  <si>
    <t>Mois décaissement</t>
  </si>
  <si>
    <t>Janvier</t>
  </si>
  <si>
    <t>Février</t>
  </si>
  <si>
    <t>Mars</t>
  </si>
  <si>
    <t>Avril</t>
  </si>
  <si>
    <t>Mai</t>
  </si>
  <si>
    <t>Juin</t>
  </si>
  <si>
    <t>Juillet</t>
  </si>
  <si>
    <t>Août</t>
  </si>
  <si>
    <t>Septembre</t>
  </si>
  <si>
    <t>Octobre</t>
  </si>
  <si>
    <t>Novembre</t>
  </si>
  <si>
    <t>Décembre</t>
  </si>
  <si>
    <t>Prestation</t>
  </si>
  <si>
    <t>Sauf Jul-Août</t>
  </si>
  <si>
    <t>Jan à Mars</t>
  </si>
  <si>
    <t>Jean-Baptiste Chandelier</t>
  </si>
  <si>
    <t>Prestation EURL</t>
  </si>
  <si>
    <t>Tous les mois</t>
  </si>
  <si>
    <t>Salaire</t>
  </si>
  <si>
    <t>1 mois sur 2</t>
  </si>
  <si>
    <t>SOUS-TOTAL MASSE SALARIALE</t>
  </si>
  <si>
    <t>2. CHARGES D'EXPLOITATION ANNUELLES (hors masse salariale)</t>
  </si>
  <si>
    <t>Catégorie</t>
  </si>
  <si>
    <t>Montant (€/an)</t>
  </si>
  <si>
    <t>Fréquence</t>
  </si>
  <si>
    <t>OVH Website</t>
  </si>
  <si>
    <t>License</t>
  </si>
  <si>
    <t>Annuel</t>
  </si>
  <si>
    <t>Déplacements / Nourriture / Logement</t>
  </si>
  <si>
    <t>Déplacement</t>
  </si>
  <si>
    <t>Mensuel</t>
  </si>
  <si>
    <t>Adobe</t>
  </si>
  <si>
    <t>Logiciel</t>
  </si>
  <si>
    <t>Microsoft Teams / Cloud / Suite Office</t>
  </si>
  <si>
    <t>Loyer Briançon (3bis Route de Gap)</t>
  </si>
  <si>
    <t>Frais fixe</t>
  </si>
  <si>
    <t>Loyer bureau/atelier Embrun</t>
  </si>
  <si>
    <t>Indemnités kilométriques Thomas (Embrun ↔ Briançon, 12 480 km/an)</t>
  </si>
  <si>
    <t>Notion</t>
  </si>
  <si>
    <t>Gestion</t>
  </si>
  <si>
    <t>AI Assistant</t>
  </si>
  <si>
    <t>Glider Plan</t>
  </si>
  <si>
    <t>Investissement matériel</t>
  </si>
  <si>
    <t>Achat</t>
  </si>
  <si>
    <t>Comptabilité</t>
  </si>
  <si>
    <t>Trimestriel</t>
  </si>
  <si>
    <t>Jan/Avr/Jul/Oct</t>
  </si>
  <si>
    <t>SOUS-TOTAL EXPLOITATION</t>
  </si>
  <si>
    <t>3. INVESTISSEMENT R&amp;D ANNUEL</t>
  </si>
  <si>
    <t>Nb protos</t>
  </si>
  <si>
    <t>Prix unitaire (€)</t>
  </si>
  <si>
    <t>Coût total (€)</t>
  </si>
  <si>
    <t>Proto recherche</t>
  </si>
  <si>
    <t>2 protos/mois</t>
  </si>
  <si>
    <t>Veille concurrentielle</t>
  </si>
  <si>
    <t>Jan + Jul</t>
  </si>
  <si>
    <t>Pré-série homologation</t>
  </si>
  <si>
    <t>Avr + Août</t>
  </si>
  <si>
    <t>Homologation</t>
  </si>
  <si>
    <t>SOUS-TOTAL R&amp;D</t>
  </si>
  <si>
    <t>RÉCAPITULATIF GÉNÉRAL</t>
  </si>
  <si>
    <t>Masse salariale annuelle</t>
  </si>
  <si>
    <t>Charges d'exploitation annuelles</t>
  </si>
  <si>
    <t>Investissement R&amp;D annuel</t>
  </si>
  <si>
    <t>TOTAL CHARGES FIXES ANNÉE 1</t>
  </si>
  <si>
    <t>EMPRUNT BANCAIRE - PLUME PARAGLIDERS</t>
  </si>
  <si>
    <t>CARACTÉRISTIQUES DU PRÊT</t>
  </si>
  <si>
    <t>Montant de l'emprunt</t>
  </si>
  <si>
    <t>ans</t>
  </si>
  <si>
    <t>Taux d'intérêt</t>
  </si>
  <si>
    <t>Taux d'assurance</t>
  </si>
  <si>
    <t>ÉCHÉANCIER DE REMBOURSEMENT</t>
  </si>
  <si>
    <t>Période</t>
  </si>
  <si>
    <t>Prêt Annuel (€)</t>
  </si>
  <si>
    <t>Assurance Annuelle (€)</t>
  </si>
  <si>
    <t>Total Annuel (€)</t>
  </si>
  <si>
    <t>Mois 1 - 48</t>
  </si>
  <si>
    <t>SYNTHÈSE SUR 4 ANS</t>
  </si>
  <si>
    <t>Mensualité totale</t>
  </si>
  <si>
    <t>Coût total du crédit</t>
  </si>
  <si>
    <t>dont Intérêts</t>
  </si>
  <si>
    <t>dont Assurance</t>
  </si>
  <si>
    <t>IMPACT ANNUEL SUR TRÉSORERIE</t>
  </si>
  <si>
    <t>Charge annuelle de remboursement</t>
  </si>
  <si>
    <t>DÉTAIL MENSUALITÉ CORRIGÉ</t>
  </si>
  <si>
    <t>Mensualité prêt (capital + intérêts)</t>
  </si>
  <si>
    <t>Assurance mensuelle</t>
  </si>
  <si>
    <t>TOTAL MENSUALITÉ</t>
  </si>
  <si>
    <t>INTÉRÊTS ANNUELS (pour Compte de Résultat)</t>
  </si>
  <si>
    <t>Année</t>
  </si>
  <si>
    <t>Intérêts</t>
  </si>
  <si>
    <t>Assurance</t>
  </si>
  <si>
    <t>Total charges fin.</t>
  </si>
  <si>
    <t>Total intérêts</t>
  </si>
  <si>
    <t>Note: Seuls les intérêts sont des charges dans le Compte de Résultat.</t>
  </si>
  <si>
    <t>Le remboursement du capital reste dans le Plan de Trésorerie.</t>
  </si>
  <si>
    <t>━━━━━━━━━━━━━━━━━━━━━━━━━━━━━━━━━━━━━━━━━━━━━━━━━━━━━━━━━━━━━━━━</t>
  </si>
  <si>
    <t>TABLEAU D'AMORTISSEMENT - CAPITAL RESTANT DÛ (CRD)</t>
  </si>
  <si>
    <t>Fin d'année</t>
  </si>
  <si>
    <t>Capital remboursé</t>
  </si>
  <si>
    <t>Intérêts payés</t>
  </si>
  <si>
    <t>CRD début période</t>
  </si>
  <si>
    <t>2026</t>
  </si>
  <si>
    <t>2027</t>
  </si>
  <si>
    <t>2028</t>
  </si>
  <si>
    <t>2029</t>
  </si>
  <si>
    <t>CHARGES VARIABLES - PLUME PARAGLIDERS</t>
  </si>
  <si>
    <t>Charges liées au chiffre d'affaires</t>
  </si>
  <si>
    <t>CHARGES VARIABLES</t>
  </si>
  <si>
    <t>Base de calcul</t>
  </si>
  <si>
    <t>Pourcentage</t>
  </si>
  <si>
    <t>-</t>
  </si>
  <si>
    <t>Transport Thaïlande → Europe</t>
  </si>
  <si>
    <t>Par aile</t>
  </si>
  <si>
    <t>Frais de douane</t>
  </si>
  <si>
    <t>Prix usine</t>
  </si>
  <si>
    <t>Frais de dédouanement</t>
  </si>
  <si>
    <t>MARGES PRODUITS - PLUME PARAGLIDERS</t>
  </si>
  <si>
    <t>1. VENTE SCHOOL PACK (Vente directe écoles)</t>
  </si>
  <si>
    <t>Paiement immédiat via site PLUME</t>
  </si>
  <si>
    <t>Modèle</t>
  </si>
  <si>
    <t>A+ Classic</t>
  </si>
  <si>
    <t>Prix de vente TTC</t>
  </si>
  <si>
    <t>Prix de vente HT</t>
  </si>
  <si>
    <t>Marge Partenaire</t>
  </si>
  <si>
    <t>Prix usine (aile + bags + goodies)</t>
  </si>
  <si>
    <t>Frais de douane (2,7%)</t>
  </si>
  <si>
    <t>Frais de dédouanement (2%)</t>
  </si>
  <si>
    <t>Total des couts de reviens</t>
  </si>
  <si>
    <t>MARGE BRUTE (€)</t>
  </si>
  <si>
    <t>MARGE BRUTE (%)</t>
  </si>
  <si>
    <t>2. VENTE B2B2C (Site internet avec partenaires)</t>
  </si>
  <si>
    <t>B- Ultra</t>
  </si>
  <si>
    <t>K2- Ultra</t>
  </si>
  <si>
    <t>Prix usine ( aile+sac+goodies)</t>
  </si>
  <si>
    <t>Frais payment</t>
  </si>
  <si>
    <t xml:space="preserve">3. Hypothèse 1 de la répartition des ventes </t>
  </si>
  <si>
    <t>Canal de vente</t>
  </si>
  <si>
    <t>Produit</t>
  </si>
  <si>
    <t>Prix HT</t>
  </si>
  <si>
    <t>Marge €</t>
  </si>
  <si>
    <t>Cout de reviens</t>
  </si>
  <si>
    <t xml:space="preserve">Proportions des ventes </t>
  </si>
  <si>
    <t>Marge Brute</t>
  </si>
  <si>
    <t>School Pack</t>
  </si>
  <si>
    <t>B2B2C</t>
  </si>
  <si>
    <t>FINANCEMENT &amp; MONTAGE SOCIÉTÉ - PLUME PARAGLIDERS</t>
  </si>
  <si>
    <t>MONTAGE SOCIÉTÉ - CAPITAL SOCIAL</t>
  </si>
  <si>
    <t>Associé / Source</t>
  </si>
  <si>
    <t>Apport total</t>
  </si>
  <si>
    <t>Part capital</t>
  </si>
  <si>
    <t>Sous-total Associés</t>
  </si>
  <si>
    <t>FINANCEMENTS EXTERNES</t>
  </si>
  <si>
    <t>Source</t>
  </si>
  <si>
    <t>Banque Populaire - Emprunt 1/1</t>
  </si>
  <si>
    <t>Sous-total Financements Externes</t>
  </si>
  <si>
    <t>APPORT COMPLÉMENTAIRE ANNÉE 2</t>
  </si>
  <si>
    <t>Objet</t>
  </si>
  <si>
    <t>Avoir EURL JB Chandelier</t>
  </si>
  <si>
    <t>Marketing &amp; Tests</t>
  </si>
  <si>
    <t>Note: Prestation externe pour fonds de roulement</t>
  </si>
  <si>
    <t>RÉCAPITULATIF FINANCEMENT TOTAL</t>
  </si>
  <si>
    <t>Apports associés (Année 1)</t>
  </si>
  <si>
    <t>Financements externes (Année 1)</t>
  </si>
  <si>
    <t>Avoir EURL JB Chandelier (Année 2)</t>
  </si>
  <si>
    <t>TOTAL FINANCEMENT</t>
  </si>
  <si>
    <t>FLUX DE FINANCEMENT PAR ANNÉE</t>
  </si>
  <si>
    <t>Entrées</t>
  </si>
  <si>
    <t>Détail</t>
  </si>
  <si>
    <t>2025</t>
  </si>
  <si>
    <t>Associés + Emprunt</t>
  </si>
  <si>
    <t>2028+</t>
  </si>
  <si>
    <t>correspond aux comptes courants d'associés (89k€).</t>
  </si>
  <si>
    <t>📅 CALENDRIER DE DÉBLOCAGE (Création 18/12/2025)</t>
  </si>
  <si>
    <t>Janvier 2026</t>
  </si>
  <si>
    <t>Comptes courants associés</t>
  </si>
  <si>
    <t>Emprunt Banque Populaire</t>
  </si>
  <si>
    <t>Mars 2027</t>
  </si>
  <si>
    <t>Avoir EURL JB</t>
  </si>
  <si>
    <t>SCÉNARIOS DE VENTES - PLUME PARAGLIDERS</t>
  </si>
  <si>
    <t>VOLUMES DE VENTES (Nombre d'ailes)</t>
  </si>
  <si>
    <t>🟠 RÉALISTE</t>
  </si>
  <si>
    <t>🔴 POINT MORT (minimum syndical)</t>
  </si>
  <si>
    <t>SCÉNARIO RÉALISTE - DÉTAIL</t>
  </si>
  <si>
    <t>Volume TOTAL</t>
  </si>
  <si>
    <t>résultat net</t>
  </si>
  <si>
    <t>CA TOTAL (HT)</t>
  </si>
  <si>
    <t>COMPARAISON CA TOTAL (HT)</t>
  </si>
  <si>
    <t>🟠 CA Réaliste</t>
  </si>
  <si>
    <t>📌 STRATÉGIE PLAFOND 1000 AILES</t>
  </si>
  <si>
    <t>Au-delà de 1000 ailes/an, l'objectif n'est plus d'augmenter le volume mais la marge.</t>
  </si>
  <si>
    <t>Stratégie : produire légèrement moins que la demande pour valoriser le produit et augmenter le prix.</t>
  </si>
  <si>
    <t>Cette limitation volontaire de la production permet de renforcer le positionnement premium.</t>
  </si>
  <si>
    <t>PLAN DE TRÉSORERIE MENSUEL - PLUME PARAGLIDERS</t>
  </si>
  <si>
    <t>Création : 18 décembre 2025 • Délais de financement réalistes</t>
  </si>
  <si>
    <t>📅 ANNÉE 2026 : LANCEMENT</t>
  </si>
  <si>
    <t>Déc 25</t>
  </si>
  <si>
    <t>Jan</t>
  </si>
  <si>
    <t>Fév</t>
  </si>
  <si>
    <t>Mar</t>
  </si>
  <si>
    <t>Avr</t>
  </si>
  <si>
    <t>Juil</t>
  </si>
  <si>
    <t>Sept</t>
  </si>
  <si>
    <t>Oct</t>
  </si>
  <si>
    <t>Nov</t>
  </si>
  <si>
    <t>Déc</t>
  </si>
  <si>
    <t>ENTRÉES</t>
  </si>
  <si>
    <t>Emprunt bancaire</t>
  </si>
  <si>
    <t>CA Ventes (HT)</t>
  </si>
  <si>
    <t>Total entrées</t>
  </si>
  <si>
    <t>SORTIES</t>
  </si>
  <si>
    <t>Frais création</t>
  </si>
  <si>
    <t>Frais prototype</t>
  </si>
  <si>
    <t>Charges exploitation</t>
  </si>
  <si>
    <t>Pré-série homologation (10)</t>
  </si>
  <si>
    <t>Tests homologation EN</t>
  </si>
  <si>
    <t>Remboursement emprunt</t>
  </si>
  <si>
    <t>Assurance RC (0.8% CA)</t>
  </si>
  <si>
    <t>imprévue: 15% de total sortie</t>
  </si>
  <si>
    <t>Total sorties</t>
  </si>
  <si>
    <t>FLUX MENSUEL</t>
  </si>
  <si>
    <t>TRÉSORERIE CUMULÉE</t>
  </si>
  <si>
    <t>📦 Volumes</t>
  </si>
  <si>
    <t>Production (nb ailes)</t>
  </si>
  <si>
    <t>Ventes (nb ailes)</t>
  </si>
  <si>
    <t>Stock fin de mois</t>
  </si>
  <si>
    <t>📅 ANNÉE 2027 : CROISSANCE</t>
  </si>
  <si>
    <t>📅 ANNÉE 2028 : CROISSANCE</t>
  </si>
  <si>
    <t>📅 ANNÉE 2029 : CROISSANCE</t>
  </si>
  <si>
    <t>📅 ANNÉE 2030 : CROISSANCE</t>
  </si>
  <si>
    <t>📅 ANNÉE 2031 : CROISSANCE</t>
  </si>
  <si>
    <t>production</t>
  </si>
  <si>
    <t>vente</t>
  </si>
  <si>
    <t>📊 SYNTHÈSE</t>
  </si>
  <si>
    <t>CA vente HT</t>
  </si>
  <si>
    <t>Flux annuel</t>
  </si>
  <si>
    <t>CALENDRIER FINANCEMENT</t>
  </si>
  <si>
    <t>18 Déc 2025 : Capital social 100 000 €</t>
  </si>
  <si>
    <t>Janvier 2026 : Comptes courants 89 000 €</t>
  </si>
  <si>
    <t>✅ Point bas trésorerie :</t>
  </si>
  <si>
    <t>✅ Trésorerie fin 2026</t>
  </si>
  <si>
    <t xml:space="preserve">✅ Trésorerie fin 2027 </t>
  </si>
  <si>
    <t xml:space="preserve">Information: Le prix de nos produits sera augmenté de 5 % le jour où on aura atteint le barier de 1000 ventes par an.
Et si la demande est forte, ça sera augmenté de 5 % par an jusqu'à atteindre un équilibre entre la demande et les ventes </t>
  </si>
  <si>
    <t>📝 NOTE MÉTHODOLOGIQUE (TVA) :</t>
  </si>
  <si>
    <t>Le plan de trésorerie est volontairement présenté en HT. Étant en phase de croissance,</t>
  </si>
  <si>
    <t>le décalage de TVA (TVA collectée sur ventes &gt; TVA déductible sur achats) générera un excédent</t>
  </si>
  <si>
    <t>de trésorerie structurel (BFR négatif sur la partie fiscale). La présentation HT constitue donc</t>
  </si>
  <si>
    <t>un scénario 'conservateur' qui sécurise les besoins de financement.</t>
  </si>
  <si>
    <t>COMPTE DE RÉSULTAT PRÉVISIONNEL - SCÉNARIO RÉALISTE</t>
  </si>
  <si>
    <t>PARAMÈTRES</t>
  </si>
  <si>
    <t>avant 1000 ailes/ans</t>
  </si>
  <si>
    <t>apres 1000 ailes/ans</t>
  </si>
  <si>
    <t>Prix moyen HT par aile</t>
  </si>
  <si>
    <t>Marge brute par aile</t>
  </si>
  <si>
    <t>Coût de revient par aile</t>
  </si>
  <si>
    <t>Stock cible (% des ventes)</t>
  </si>
  <si>
    <t>Charges fixes exploitation</t>
  </si>
  <si>
    <t>CHIFFRE D'AFFAIRES</t>
  </si>
  <si>
    <t>Volumes vendus</t>
  </si>
  <si>
    <t>CA TOTAL HT</t>
  </si>
  <si>
    <t>MARGE BRUTE</t>
  </si>
  <si>
    <t>Marge brute totale</t>
  </si>
  <si>
    <t>CHARGES FIXES</t>
  </si>
  <si>
    <t>Intérêts financiers + assurance prêt (2026-2029)</t>
  </si>
  <si>
    <t>TOTAL CHARGES FIXES</t>
  </si>
  <si>
    <t>Assurance (0.8% du CA)</t>
  </si>
  <si>
    <t>TOTAL CHARGES VARIABLES</t>
  </si>
  <si>
    <t>RÉSULTAT D'EXPLOITATION</t>
  </si>
  <si>
    <t>Résultat avant réinvestissement</t>
  </si>
  <si>
    <t>Déficit reportable</t>
  </si>
  <si>
    <t>Taux IS effectif (ZFRR Briançon)</t>
  </si>
  <si>
    <t>Impôt sur les sociétés (IS)</t>
  </si>
  <si>
    <t>⚠️ ZFRR art.44 quindecies A CGI • Exo totale 5 ans + dégressive 3 ans • Plafond de minimis 300k€/3 ans (cumul avec autres aides)</t>
  </si>
  <si>
    <t>RÉSULTAT NET</t>
  </si>
  <si>
    <t>BFR - VARIATION DE STOCK</t>
  </si>
  <si>
    <t>💡 + = investir dans le stock / - = récupérer du stock</t>
  </si>
  <si>
    <t>Stock cible (€ = nb ailes × coût)</t>
  </si>
  <si>
    <t>Variation stock (impact trésorerie)</t>
  </si>
  <si>
    <t>Apports</t>
  </si>
  <si>
    <t>BILAN PRÉVISIONNEL - PLUME PARAGLIDERS</t>
  </si>
  <si>
    <t>Projection sur 7 ans (2025-2031) - Scénario Réaliste</t>
  </si>
  <si>
    <t>ACTIF</t>
  </si>
  <si>
    <t>Immobilisations incorporelles (R&amp;D capitalisée)</t>
  </si>
  <si>
    <t>Immobilisations corporelles (Matériel)</t>
  </si>
  <si>
    <t>TOTAL ACTIF IMMOBILISÉ</t>
  </si>
  <si>
    <t>Créances clients</t>
  </si>
  <si>
    <t>Trésorerie disponible</t>
  </si>
  <si>
    <t>TOTAL ACTIF CIRCULANT</t>
  </si>
  <si>
    <t>TOTAL ACTIF</t>
  </si>
  <si>
    <t>PASSIF</t>
  </si>
  <si>
    <t>Avoir EURL JB Chandelier (compte courant)</t>
  </si>
  <si>
    <t>Résultat de l'exercice</t>
  </si>
  <si>
    <t>Report à nouveau (résultats antérieurs)</t>
  </si>
  <si>
    <t>TOTAL CAPITAUX PROPRES</t>
  </si>
  <si>
    <t>Apport complémentaire dirigeant *</t>
  </si>
  <si>
    <t>Emprunt bancaire (capital restant dû)</t>
  </si>
  <si>
    <t>Dettes d'exploitation</t>
  </si>
  <si>
    <t>TOTAL DETTES</t>
  </si>
  <si>
    <t>TOTAL PASSIF</t>
  </si>
  <si>
    <t>━━━━━━━━━━━━━━━━━━━━━━━━━━━━━━━━━━━━━━━━━━━━━━━━━━━━━━━━━━━━━━━━━━━━━━━━━━━━━━</t>
  </si>
  <si>
    <t>📊 RATIOS FINANCIERS</t>
  </si>
  <si>
    <t>2030</t>
  </si>
  <si>
    <t>2031</t>
  </si>
  <si>
    <t>Ratio d'endettement (Dettes/CP)</t>
  </si>
  <si>
    <t>Autonomie financière (CP/Total)</t>
  </si>
  <si>
    <t>Trésorerie disponible (k€)</t>
  </si>
  <si>
    <t>📋 VENTILATION DES DETTES</t>
  </si>
  <si>
    <t>Emprunt bancaire (CRD)</t>
  </si>
  <si>
    <t>Dettes fournisseurs (stock)</t>
  </si>
  <si>
    <t>Charges à payer</t>
  </si>
  <si>
    <t>Autres dettes (TVA, PCA, régul.)</t>
  </si>
  <si>
    <t>📝 NOTES</t>
  </si>
  <si>
    <t>* Montant conditionnel (30k€) : présenté ici comme apport CC dirigeant.</t>
  </si>
  <si>
    <t xml:space="preserve">  Si subvention BPI obtenue, ce montant sera reclassé en subvention d'investissement.</t>
  </si>
  <si>
    <t xml:space="preserve">  Dans les deux cas : pas de modification de la structure actionnariale (55%/45%).</t>
  </si>
  <si>
    <t>• Avoir EURL JB (50k€) : versement prévu janvier 2027</t>
  </si>
  <si>
    <t>* Ventilation indicative des dettes d'exploitation (délais standards 30j)</t>
  </si>
  <si>
    <t>SEUIL DE RENTABILITÉ &amp; BFR - PLUME PARAGLIDERS</t>
  </si>
  <si>
    <t>PARAMÈTRES DE BASE</t>
  </si>
  <si>
    <t xml:space="preserve">Prix moyen HT </t>
  </si>
  <si>
    <t xml:space="preserve">Marge brute par aile </t>
  </si>
  <si>
    <t>Assurance par aile (0.8% du prix)</t>
  </si>
  <si>
    <t>Marge nette par aile (marge - assurance)</t>
  </si>
  <si>
    <t>Charges fixes annuelles (réf Charges Fixes D50)</t>
  </si>
  <si>
    <t>CALCUL PAR ANNÉE</t>
  </si>
  <si>
    <t>Intérêts financiers (2026-2029)</t>
  </si>
  <si>
    <t>🔵 SEUIL DE RENTABILITÉ</t>
  </si>
  <si>
    <t>Seuil = Charges Fixes / Marge nette par aile</t>
  </si>
  <si>
    <t>SEUIL (nb ailes pour équilibre exploitation)</t>
  </si>
  <si>
    <t>COMPARAISON AVEC SCÉNARIOS</t>
  </si>
  <si>
    <t>🔵 Seuil de rentabilité</t>
  </si>
  <si>
    <t>🟠 Scénario Réaliste</t>
  </si>
  <si>
    <t>Écart Réaliste vs Seuil</t>
  </si>
  <si>
    <t>BFR - GESTION DU STOCK (Scénario Réaliste)</t>
  </si>
  <si>
    <t>Variation stock (+ = investir / - = récupérer)</t>
  </si>
  <si>
    <t>💡 Si ventes baissent → stock cible baisse → on revend du stock → tréso +</t>
  </si>
  <si>
    <t>💡 Si ventes augmentent → stock cible augmente → on achète du stock → tréso -</t>
  </si>
  <si>
    <t>SCÉNARIO POINT MORT - MINIMUM SYNDICAL</t>
  </si>
  <si>
    <t>Objectif : Trésorerie cumulée ≥ 0 € (survie)</t>
  </si>
  <si>
    <t>Marge nette par aile</t>
  </si>
  <si>
    <t>Stock cible (%)</t>
  </si>
  <si>
    <t>Charges fixes annuelles</t>
  </si>
  <si>
    <t>Marge après BFR initial (marge - 50%×coût)</t>
  </si>
  <si>
    <t>SCÉNARIO POINT MORT</t>
  </si>
  <si>
    <t>Charges fixes (€)</t>
  </si>
  <si>
    <t>Remboursement emprunt (€)</t>
  </si>
  <si>
    <t>Total sorties fixes (€)</t>
  </si>
  <si>
    <t>🎯 VENTES MINIMUM (ailes)</t>
  </si>
  <si>
    <t>Marge brute générée (€)</t>
  </si>
  <si>
    <t>Stock cible (€)</t>
  </si>
  <si>
    <t>Variation stock (€)</t>
  </si>
  <si>
    <t>FLUX DE TRÉSORERIE (€)</t>
  </si>
  <si>
    <t>TRÉSORERIE CUMULÉE (€)</t>
  </si>
  <si>
    <t>INDICATEURS</t>
  </si>
  <si>
    <t>Seuil rentabilité (ailes)</t>
  </si>
  <si>
    <t>Écart ventes vs seuil</t>
  </si>
  <si>
    <t>RÉSUMÉ</t>
  </si>
  <si>
    <t>Total ventes (7 ans)</t>
  </si>
  <si>
    <t>Moyenne annuelle (hors 2025)</t>
  </si>
  <si>
    <t>📅 CALENDRIER DES APPORTS</t>
  </si>
  <si>
    <t>• Déc 2025 : Capital social = 100 000€</t>
  </si>
  <si>
    <t>• Jan 2026 : Comptes courants associés = 89 000€</t>
  </si>
  <si>
    <t>📌 MODE D'EMPLOI</t>
  </si>
  <si>
    <t>1. Les cellules JAUNES (ventes) sont modifiables</t>
  </si>
  <si>
    <t>2. La TRÉSORERIE CUMULÉE doit rester ≥ 0€</t>
  </si>
  <si>
    <t>3. Remboursement emprunt : 9 mois en 2026, 12 mois/an 2027-2029</t>
  </si>
  <si>
    <t>⚠️ Ce scénario est le STRICT MINIMUM pour survivre !</t>
  </si>
  <si>
    <t>2026 (déblocage Mai)</t>
  </si>
  <si>
    <t>% du chiffre d'affaire</t>
  </si>
  <si>
    <t>Transport stock → Europe</t>
  </si>
  <si>
    <t xml:space="preserve">Taxe douanière </t>
  </si>
  <si>
    <t xml:space="preserve">Stockage </t>
  </si>
  <si>
    <t>Stockage</t>
  </si>
  <si>
    <t>Transporteur</t>
  </si>
  <si>
    <t>Transports Asie - europe</t>
  </si>
  <si>
    <t>stockage</t>
  </si>
  <si>
    <t xml:space="preserve">Transport Stock Europe </t>
  </si>
  <si>
    <t xml:space="preserve">Frais de paiement </t>
  </si>
  <si>
    <t>Stripe</t>
  </si>
  <si>
    <t>Briddge</t>
  </si>
  <si>
    <t>⚙ Réconciliation avec le Bilan Prévisionnel :</t>
  </si>
  <si>
    <t>Le CRD début 2026 = 189 000 € (déblocage prévu mai 2026)</t>
  </si>
  <si>
    <t>Le CRD début 2027 = 159 810 € = CRD fin 2026 après remboursements</t>
  </si>
  <si>
    <t>Note: Le bilan utilise des CRD ajustés pour le décalage comptable</t>
  </si>
  <si>
    <t>Marge Partenaire (19%)</t>
  </si>
  <si>
    <t xml:space="preserve">Marge des écoles partenaires </t>
  </si>
  <si>
    <t>marge ecole partenaire</t>
  </si>
  <si>
    <t>A+ DLS</t>
  </si>
  <si>
    <t>Decembre 2025</t>
  </si>
  <si>
    <t>Mai 2026</t>
  </si>
  <si>
    <t>Sécurité financière des fondateurs</t>
  </si>
  <si>
    <t>Les fondateurs disposent de revenus complémentaires qui assurent leur stabilité personnelle pendant la phase de lancement :</t>
  </si>
  <si>
    <r>
      <t>JB Chandelier</t>
    </r>
    <r>
      <rPr>
        <sz val="11"/>
        <color theme="1"/>
        <rFont val="Calibri"/>
        <family val="2"/>
        <charset val="1"/>
      </rPr>
      <t xml:space="preserve"> — revenus via son EURL Chandelier (prestations vidéo, droits d'image, partenariats Salewa, Blacksheep, Serre Chevalier), revenus patrimoniaux personnels, brevets d'État parapente/ski.</t>
    </r>
  </si>
  <si>
    <r>
      <t>Thomas Pierre-Bes</t>
    </r>
    <r>
      <rPr>
        <sz val="11"/>
        <color theme="1"/>
        <rFont val="Calibri"/>
        <family val="2"/>
        <charset val="1"/>
      </rPr>
      <t xml:space="preserve"> — auto-entrepreneur (R&amp;D parapente, impression 3D, prestations vidéo), brevets d'État kitesurf.</t>
    </r>
  </si>
  <si>
    <t>La rémunération via Plume Paragliders est volontairement contenue pour préserver la trésorerie. Les comptes courants d'associés (89 000 €) seront remboursés une fois la rentabilité atteinte, avec revalorisation progressive des rémunérations à partir du seuil de ~180 ailes/an.</t>
  </si>
  <si>
    <t>Le capital de 100 000 € est dimensionné au juste besoin de la phase de lancement. JB Chandelier dispose par ailleurs d'un patrimoine personnel significatif, mobilisable en renfort si nécessaire pour accompagner l'atteinte de la rentabilité.</t>
  </si>
  <si>
    <t>Répartition des ventes</t>
  </si>
  <si>
    <t>TABLEAU DES MENSUALITÉS - PLUME PARAGLIDERS</t>
  </si>
  <si>
    <t>Emprunt : 189 000 € | Taux : 4.50% | Durée : 48 mois | Début : Mai 2026</t>
  </si>
  <si>
    <t>N°</t>
  </si>
  <si>
    <t>Mois</t>
  </si>
  <si>
    <t>CRD début</t>
  </si>
  <si>
    <t>Capital</t>
  </si>
  <si>
    <t>CRD fin</t>
  </si>
  <si>
    <t>Sous-total 2026</t>
  </si>
  <si>
    <t>Sous-total 2027</t>
  </si>
  <si>
    <t>Sous-total 2028</t>
  </si>
  <si>
    <t>Sous-total 2029</t>
  </si>
  <si>
    <t>Sous-total 2030</t>
  </si>
  <si>
    <t>TOTAL GÉNÉRAL</t>
  </si>
  <si>
    <t>Production stock parapente</t>
  </si>
  <si>
    <t>Production de stock</t>
  </si>
  <si>
    <t>Mai 2026 : Emprunt bancaire 189 000 €</t>
  </si>
  <si>
    <t>Mars 2027 : Avoir EURL JB 50 000 €</t>
  </si>
  <si>
    <t>TRÉSORERIE au 31 decembre</t>
  </si>
  <si>
    <t>Apport</t>
  </si>
  <si>
    <t xml:space="preserve">Flux de trésorerie annuel </t>
  </si>
  <si>
    <t xml:space="preserve">Stocks </t>
  </si>
  <si>
    <t>• Mai 2026 : Emprunt Banque Populaire = 189 000€</t>
  </si>
  <si>
    <t>• mars 2027 : Avoir EURL JB = 50 000€</t>
  </si>
  <si>
    <t xml:space="preserve">Trésorerie minimum ( valeur de point mort mensuel ) </t>
  </si>
  <si>
    <t xml:space="preserve">✓ Marge brute </t>
  </si>
  <si>
    <t>✓ Seuil : ailes/an</t>
  </si>
  <si>
    <t xml:space="preserve">Information: Le prix de nos produits sera augmenté de 5 % le jour où on aura atteint le barier de 1000 ventes par an. ( Cette information n'est pas prise en compte dans le business plan actuel )
Et si la demande est forte, ça sera augmenté de 5 % par an jusqu'à atteindre un équilibre entre la demande et les ventes </t>
  </si>
  <si>
    <t>Marge partenaire : 19% du prix HT</t>
  </si>
  <si>
    <t>"Le plan est présenté en euros constants (base 2025). L'inflation n'est pas modélisée séparément : les hausses de charges (salaires, matières, logistique) seront répercutées dans les prix de vente, maintenant les marges unitaires stables. Cette approche conservatrice sous-estime légèrement la rentabilité réelle, le remboursement d'emprunt étant fixe en euros nominaux."</t>
  </si>
  <si>
    <t xml:space="preserve">Stock fin de mois </t>
  </si>
  <si>
    <t>Stock ( 66% aile stock / 33% aile démo )</t>
  </si>
  <si>
    <t>Nb voiles vendues (forecast) par an</t>
  </si>
  <si>
    <t>Stock fin d'année (nb ailes — source : plan de trésorerie)</t>
  </si>
  <si>
    <t>"Le bilan prévisionnel présente une photographie patrimoniale au 31 décembre de chaque exercice. Du fait de la forte saisonnalité de l'activité (pic mars-septembre), les niveaux de trésorerie et de stock à date de clôture peuvent différer significativement des moyennes annuelles. Pour une vision dynamique de la trésorerie et de la capacité de financement mois par mois, se référer au Plan de Trésorerie Mensuel, qui constitue le document de référence opérationnel."</t>
  </si>
  <si>
    <t>Manu Laly (pilote test)</t>
  </si>
  <si>
    <t>Yann Freund (conception accessoire)</t>
  </si>
  <si>
    <t>Jean-Baptiste Chandelier (president)</t>
  </si>
  <si>
    <t>Thomas Pierre-Bes (directeur)</t>
  </si>
  <si>
    <t>Jim Nougarolles (pilot test &amp; R&amp;D)</t>
  </si>
  <si>
    <t>4. CHARGES DE CROISSANCE</t>
  </si>
  <si>
    <t>⚡ Déclencheur : activées à partir de 2029 (dès que N-1 &gt; 500 ailes vendues)</t>
  </si>
  <si>
    <t>Revalorisation JB (EURL : 1 800 → 3 000€/mois)</t>
  </si>
  <si>
    <t>Revalorisation Thomas (1 400 → 3 200€ brut/mois)</t>
  </si>
  <si>
    <t>Jim — passage salarié (presta 27 396 → salarié 42 000€)</t>
  </si>
  <si>
    <t>Assistant Logistique / SAV (embauche CDI, 2 000€ net)</t>
  </si>
  <si>
    <t>Budget Marketing &amp; Salons</t>
  </si>
  <si>
    <t>Marketing</t>
  </si>
  <si>
    <t>SOUS-TOTAL CROISSANCE</t>
  </si>
  <si>
    <t>Charges de croissance (2029+)</t>
  </si>
  <si>
    <t>🚀 TOTAL CHARGES FIXES — PHASE 2 ( si N-1 &gt; 500 ailes)</t>
  </si>
  <si>
    <t>CHARGES DE CROISSANCE ( si n-1 = + 500ailes)</t>
  </si>
  <si>
    <t>scenario:</t>
  </si>
  <si>
    <t>🏦 AFFECTATION DE L'EMPRUNT BANCAIRE — 189 000 €</t>
  </si>
  <si>
    <t>Emprunt Banque Populaire • 4 ans • Taux 4,5% • Échéance mensuelle 4 367 €</t>
  </si>
  <si>
    <t>Poste de financement</t>
  </si>
  <si>
    <t>% Emprunt</t>
  </si>
  <si>
    <t>Détail / Justification</t>
  </si>
  <si>
    <t>Homologation EN (pré-séries + tests labo)</t>
  </si>
  <si>
    <t>Pré-séries 10 ailes × 2 modèles + tests Air Turquoise. Obligatoire pour commercialiser (norme EN 926).</t>
  </si>
  <si>
    <t>Stock de lancement (ailes certifiées)</t>
  </si>
  <si>
    <t>~105 ailes × coût de revient 1 049€. Actif physique tangible, stocké en France, valeur de revente &gt; coût.</t>
  </si>
  <si>
    <t>Fonds de roulement (charges fixes 3 mois)</t>
  </si>
  <si>
    <t>Couverture charges fixes incompressibles avant montée en CA (salaires, loyers, assurances).</t>
  </si>
  <si>
    <t>Marge de sécurité</t>
  </si>
  <si>
    <t>Buffer 7% pour aléas logistiques, surcoûts qualité, ou retard de livraison usine.</t>
  </si>
  <si>
    <t>TOTAL EMPRUNT</t>
  </si>
  <si>
    <t>Commentaire</t>
  </si>
  <si>
    <t>📝 Les montants ci-dessus sont indicatifs. L'affectation réelle sera ajustée selon le calendrier de déblocage (mai 2026) et l'avancement des homologations EN.</t>
  </si>
  <si>
    <t>📦 58% de l'emprunt finance du stock physique (ailes certifiées EN, stockées en France). En cas de défaillance, ces actifs conservent une valeur de revente estimée à 60-80% du coût d'acquisition.</t>
  </si>
  <si>
    <t>📊 DSCR &amp; RATIOS BANCAIRES — PLUME PARAGLIDERS</t>
  </si>
  <si>
    <t>Indicateurs de capacité de remboursement — Scénario Réaliste</t>
  </si>
  <si>
    <t>🏦 DEBT SERVICE COVERAGE RATIO (DSCR)</t>
  </si>
  <si>
    <t>DSCR = (Résultat Net + Dotations aux amortissements) / Remboursement annuel de la dette</t>
  </si>
  <si>
    <t>Indicateur</t>
  </si>
  <si>
    <t>Résultat net (€)</t>
  </si>
  <si>
    <t>+ Dotations aux amortissements (€)</t>
  </si>
  <si>
    <t>Capacité d'Autofinancement (CAF)</t>
  </si>
  <si>
    <t>Service de la dette (capital + intérêts) (€)</t>
  </si>
  <si>
    <t>📈 DSCR (CAF / Service dette)</t>
  </si>
  <si>
    <t>💡 LECTURE : DSCR &gt; 1,0x = la boîte génère assez pour rembourser • &gt; 1,2x = zone de confort bancaire • &gt; 2,0x = excellent</t>
  </si>
  <si>
    <t>⚠️ 2026 : DSCR négatif = normal (année de lancement, résultat déficitaire prévu). L'emprunt finance cette phase. Retour &gt; 1x dès 2027.</t>
  </si>
  <si>
    <t>📋 RATIOS COMPLÉMENTAIRES</t>
  </si>
  <si>
    <t>Ratio</t>
  </si>
  <si>
    <t>Ratio d'endettement (Dettes / CP)</t>
  </si>
  <si>
    <t>Autonomie financière (CP / Total bilan)</t>
  </si>
  <si>
    <t>Marge nette (Résultat / CA)</t>
  </si>
  <si>
    <t>Années restantes de remboursement</t>
  </si>
  <si>
    <t>🟢 Vert = excellent  |  🟡 Jaune = acceptable  |  🔴 Rouge = à surveiller  |  ⬜ Gris = non applicable</t>
  </si>
  <si>
    <t>⚠️ DSCR — SCÉNARIO PESSIMISTE (-30% VENTES)</t>
  </si>
  <si>
    <t>Résultat net -30% (€)</t>
  </si>
  <si>
    <t>CAF -30% (€)</t>
  </si>
  <si>
    <t>📈 DSCR -30%</t>
  </si>
  <si>
    <t>💡 Même à -30%, le DSCR repasse au-dessus de 1x dès 2028. La trésorerie ne passe jamais en négatif (point bas : 40 215€ en avril 2028).</t>
  </si>
  <si>
    <t>⚠️ Dans ce scénario, 2027 est déficitaire (CAF négative). L'entreprise puise dans sa trésorerie accumulée (95k€ fin 2026) pour absorber le choc.</t>
  </si>
  <si>
    <t>📋 CONDITIONS COMMERCIALES &amp; GESTION DES RISQUES</t>
  </si>
  <si>
    <t>💳 DÉLAIS DE PAIEMENT</t>
  </si>
  <si>
    <t>Flux</t>
  </si>
  <si>
    <t>Délai</t>
  </si>
  <si>
    <t>Impact BFR</t>
  </si>
  <si>
    <t>🟢 Encaissement client B2C</t>
  </si>
  <si>
    <t>Comptant (J+2)</t>
  </si>
  <si>
    <t>BFR = 0</t>
  </si>
  <si>
    <t>Paiement Stripe/Briddge, fonds reçus sous 48h</t>
  </si>
  <si>
    <t>🟢 Encaissement client School Pack</t>
  </si>
  <si>
    <t>Comptant à la commande</t>
  </si>
  <si>
    <t>Prépaiement par les écoles partenaires</t>
  </si>
  <si>
    <t>🟢 Paiement usine (A&amp;C Thai)</t>
  </si>
  <si>
    <t>3 semaines après expédition</t>
  </si>
  <si>
    <t>BFR très favorable</t>
  </si>
  <si>
    <t>On reçoit les ailes, puis on paie 3 semaines après. Possibilité de vendre avant de payer le fournisseur.</t>
  </si>
  <si>
    <t>⬜ Fournisseur tissus (Porcher)</t>
  </si>
  <si>
    <t>Non applicable</t>
  </si>
  <si>
    <t>Aucun impact</t>
  </si>
  <si>
    <t>L'usine A&amp;C gère directement l'approvisionnement tissus. Plume n'a aucune relation de paiement avec Porcher.</t>
  </si>
  <si>
    <t>🟡 Paiement logistique</t>
  </si>
  <si>
    <t>À la livraison</t>
  </si>
  <si>
    <t>BFR neutre</t>
  </si>
  <si>
    <t>Facture automatisée au transporteur à réception. Aucune gestion manuelle.</t>
  </si>
  <si>
    <t>✅ BFR structurellement négatif (= favorable) : le client paie comptant, l'usine est payée 3 semaines après expédition. Plume peut encaisser la vente AVANT de payer le fournisseur. Zéro risque d'impayé client, zéro gestion de créance.</t>
  </si>
  <si>
    <t>⚠️ ANALYSE DES RISQUES</t>
  </si>
  <si>
    <t>Risque identifié</t>
  </si>
  <si>
    <t>Probabilité</t>
  </si>
  <si>
    <t>Impact</t>
  </si>
  <si>
    <t>Réponse / Mitigation</t>
  </si>
  <si>
    <t>Moyen</t>
  </si>
  <si>
    <t>Fort</t>
  </si>
  <si>
    <t>Scénario point mort prévoit 0 vente en 2026. Trésorerie absorbe un retard de 6 mois.</t>
  </si>
  <si>
    <t>Risque de change (EUR/USD ou EUR/THB)</t>
  </si>
  <si>
    <t>Modéré</t>
  </si>
  <si>
    <t>L'usine gère les approvisionnements tissus. Prix de vente usine négocié par lot. Marge brute de 42% absorbe les variations.</t>
  </si>
  <si>
    <t>Concentration fournisseur (1 usine)</t>
  </si>
  <si>
    <t>Faible</t>
  </si>
  <si>
    <t>2 usines qualifiées (A&amp;C Thai + Sky Sport Lanka). Backup opérationnel en cas de défaillance.</t>
  </si>
  <si>
    <t>Saisonnalité forte (70% CA mars-sept)</t>
  </si>
  <si>
    <t>Élevé</t>
  </si>
  <si>
    <t>Production lissée sur 10 mois. Stock tampon absorbe les pics. Charges fixes mensualisées.</t>
  </si>
  <si>
    <t>Dépendance notoriété fondateur</t>
  </si>
  <si>
    <t>Marque PLUME construite pour exister indépendamment. Réseau d'écoles partenaires = canal récurrent.</t>
  </si>
  <si>
    <t>Entrée d'un concurrent premium</t>
  </si>
  <si>
    <t>Brevet ACS (FR2503019) protège l'avantage technologique. Track record 15 ans = barrière de réputation.</t>
  </si>
  <si>
    <t>Trésorerie disponible (€)</t>
  </si>
  <si>
    <t>_</t>
  </si>
  <si>
    <t>Hypothese 1: prix moyen / produit</t>
  </si>
  <si>
    <t>hypothese 2 "+1000ailes/an" : prix moyen / produit + 5%</t>
  </si>
  <si>
    <t>✓ Emprunt remboursé 2030</t>
  </si>
  <si>
    <t xml:space="preserve">Information: Le prix de nos produits sera augmenté de 5 % le jour où on aura atteint le barier de 1000 ventes par an. 
Et si la demande est forte, ça sera augmenté de 5 % par an jusqu'à atteindre un équilibre entre la demande et les ventes </t>
  </si>
  <si>
    <t>Retard homologation EN (1,5 mois)</t>
  </si>
  <si>
    <t>Stock cible (nb ailes = 25% ventes)</t>
  </si>
  <si>
    <t>Stock = 25% des ventes. Variation = achat ou vente de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</si>
</sst>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0.00\ &quot;€&quot;_-;\-* #,##0.00\ &quot;€&quot;_-;_-* &quot;-&quot;??\ &quot;€&quot;_-;_-@_-"/>
    <numFmt numFmtId="164" formatCode="#,##0&quot; €&quot;"/>
    <numFmt numFmtId="165" formatCode="_-* #,##0&quot; €&quot;_-;\-* #,##0&quot; €&quot;_-;_-* \-??&quot; €&quot;_-;_-@_-"/>
    <numFmt numFmtId="166" formatCode="_-* #,##0.00&quot; €&quot;_-;\-* #,##0.00&quot; €&quot;_-;_-* \-??&quot; €&quot;_-;_-@_-"/>
    <numFmt numFmtId="167" formatCode="0.0%"/>
    <numFmt numFmtId="168" formatCode="#,##0.00&quot; €&quot;"/>
    <numFmt numFmtId="169" formatCode="\+#,##0&quot; €&quot;;\-#,##0&quot; €&quot;"/>
    <numFmt numFmtId="170" formatCode="\+#,##0&quot; €&quot;;\-#,##0&quot; €&quot;;0&quot; €&quot;"/>
    <numFmt numFmtId="171" formatCode="\+0;\-0;0"/>
    <numFmt numFmtId="172" formatCode="0&quot; ailes&quot;"/>
    <numFmt numFmtId="173" formatCode="0&quot; ailes/an&quot;"/>
    <numFmt numFmtId="174" formatCode="_-* #,##0\ &quot;€&quot;_-;\-* #,##0\ &quot;€&quot;_-;_-* &quot;-&quot;??\ &quot;€&quot;_-;_-@_-"/>
    <numFmt numFmtId="175" formatCode="0.00\x"/>
  </numFmts>
  <fonts count="141" x14ac:knownFonts="1">
    <font>
      <sz val="11"/>
      <color theme="1"/>
      <name val="Calibri"/>
      <family val="2"/>
      <charset val="1"/>
    </font>
    <font>
      <sz val="10"/>
      <name val="Arial"/>
    </font>
    <font>
      <b/>
      <sz val="28"/>
      <color rgb="FF2C3E50"/>
      <name val="Cambria"/>
      <charset val="1"/>
    </font>
    <font>
      <i/>
      <sz val="14"/>
      <color rgb="FF7F8C8D"/>
      <name val="Cambria"/>
      <charset val="1"/>
    </font>
    <font>
      <b/>
      <sz val="14"/>
      <color rgb="FFFFFFFF"/>
      <name val="Cambria"/>
      <charset val="1"/>
    </font>
    <font>
      <b/>
      <sz val="12"/>
      <color rgb="FFFFFFFF"/>
      <name val="Cambria"/>
      <charset val="1"/>
    </font>
    <font>
      <sz val="10"/>
      <name val="Cambria"/>
      <charset val="1"/>
    </font>
    <font>
      <sz val="10"/>
      <color rgb="FF1ABC9C"/>
      <name val="Cambria"/>
      <charset val="1"/>
    </font>
    <font>
      <sz val="9"/>
      <color rgb="FF7F8C8D"/>
      <name val="Cambria"/>
      <charset val="1"/>
    </font>
    <font>
      <b/>
      <sz val="12"/>
      <name val="Calibri"/>
      <charset val="1"/>
    </font>
    <font>
      <b/>
      <sz val="20"/>
      <color rgb="FF1ABC9C"/>
      <name val="Cambria"/>
      <charset val="1"/>
    </font>
    <font>
      <b/>
      <sz val="20"/>
      <color rgb="FFF39C12"/>
      <name val="Cambria"/>
      <charset val="1"/>
    </font>
    <font>
      <b/>
      <sz val="20"/>
      <color rgb="FF9B59B6"/>
      <name val="Cambria"/>
      <charset val="1"/>
    </font>
    <font>
      <b/>
      <sz val="11"/>
      <name val="Cambria"/>
      <charset val="1"/>
    </font>
    <font>
      <b/>
      <sz val="10"/>
      <name val="Cambria"/>
      <charset val="1"/>
    </font>
    <font>
      <b/>
      <sz val="10"/>
      <color rgb="FFF39C12"/>
      <name val="Cambria"/>
      <charset val="1"/>
    </font>
    <font>
      <b/>
      <sz val="10"/>
      <color rgb="FFE74C3C"/>
      <name val="Cambria"/>
      <charset val="1"/>
    </font>
    <font>
      <b/>
      <sz val="11"/>
      <name val="Calibri"/>
      <charset val="1"/>
    </font>
    <font>
      <b/>
      <sz val="12"/>
      <color rgb="FFFFFFFF"/>
      <name val="Cambria"/>
      <family val="1"/>
      <charset val="1"/>
    </font>
    <font>
      <sz val="10"/>
      <name val="Arial"/>
      <charset val="1"/>
    </font>
    <font>
      <b/>
      <sz val="10"/>
      <name val="Cambria"/>
      <family val="1"/>
      <charset val="1"/>
    </font>
    <font>
      <sz val="10"/>
      <color rgb="FF27AE60"/>
      <name val="Cambria"/>
      <charset val="1"/>
    </font>
    <font>
      <sz val="10"/>
      <color rgb="FF27AE60"/>
      <name val="Cambria"/>
      <family val="1"/>
      <charset val="1"/>
    </font>
    <font>
      <b/>
      <sz val="16"/>
      <color rgb="FF2C3E50"/>
      <name val="Cambria"/>
      <charset val="1"/>
    </font>
    <font>
      <i/>
      <sz val="11"/>
      <color rgb="FF7F8C8D"/>
      <name val="Cambria"/>
      <family val="1"/>
      <charset val="1"/>
    </font>
    <font>
      <b/>
      <sz val="12"/>
      <color rgb="FF2C3E50"/>
      <name val="Cambria"/>
      <charset val="1"/>
    </font>
    <font>
      <i/>
      <sz val="11"/>
      <color rgb="FF7F8C8D"/>
      <name val="Cambria"/>
      <charset val="1"/>
    </font>
    <font>
      <b/>
      <sz val="12"/>
      <color rgb="FF2C3E50"/>
      <name val="Cambria"/>
      <family val="1"/>
      <charset val="1"/>
    </font>
    <font>
      <i/>
      <sz val="10"/>
      <color rgb="FF27AE60"/>
      <name val="Cambria"/>
      <charset val="1"/>
    </font>
    <font>
      <b/>
      <sz val="9"/>
      <name val="Cambria"/>
      <charset val="1"/>
    </font>
    <font>
      <sz val="10"/>
      <color rgb="FF0000FF"/>
      <name val="Cambria"/>
      <charset val="1"/>
    </font>
    <font>
      <sz val="11"/>
      <color rgb="FF999999"/>
      <name val="Cambria"/>
      <charset val="1"/>
    </font>
    <font>
      <b/>
      <sz val="10"/>
      <color rgb="FFFFFFFF"/>
      <name val="Cambria"/>
      <charset val="1"/>
    </font>
    <font>
      <b/>
      <sz val="9"/>
      <color rgb="FFFFFFFF"/>
      <name val="Cambria"/>
      <charset val="1"/>
    </font>
    <font>
      <sz val="11"/>
      <name val="Cambria"/>
      <charset val="1"/>
    </font>
    <font>
      <b/>
      <sz val="11"/>
      <color rgb="FF2C3E50"/>
      <name val="Cambria"/>
      <charset val="1"/>
    </font>
    <font>
      <b/>
      <sz val="11"/>
      <color rgb="FF27AE60"/>
      <name val="Cambria"/>
      <charset val="1"/>
    </font>
    <font>
      <b/>
      <sz val="14"/>
      <color rgb="FFE74C3C"/>
      <name val="Cambria"/>
      <charset val="1"/>
    </font>
    <font>
      <i/>
      <sz val="10"/>
      <color rgb="FF7F8C8D"/>
      <name val="Cambria"/>
      <charset val="1"/>
    </font>
    <font>
      <b/>
      <sz val="11"/>
      <name val="Cambria"/>
      <family val="1"/>
      <charset val="1"/>
    </font>
    <font>
      <b/>
      <sz val="11"/>
      <color rgb="FFFFFFFF"/>
      <name val="Cambria"/>
      <family val="1"/>
      <charset val="1"/>
    </font>
    <font>
      <b/>
      <sz val="12"/>
      <color rgb="FF00B050"/>
      <name val="Calibri"/>
      <family val="2"/>
      <charset val="1"/>
    </font>
    <font>
      <b/>
      <sz val="11"/>
      <color rgb="FF00B050"/>
      <name val="Calibri"/>
      <family val="2"/>
      <charset val="1"/>
    </font>
    <font>
      <b/>
      <sz val="12"/>
      <color rgb="FF00B050"/>
      <name val="Arial"/>
      <family val="2"/>
      <charset val="1"/>
    </font>
    <font>
      <b/>
      <sz val="11"/>
      <color rgb="FF2980B9"/>
      <name val="Cambria"/>
      <charset val="1"/>
    </font>
    <font>
      <b/>
      <sz val="12"/>
      <name val="Cambria"/>
      <charset val="1"/>
    </font>
    <font>
      <b/>
      <sz val="14"/>
      <color rgb="FF2980B9"/>
      <name val="Cambria"/>
      <charset val="1"/>
    </font>
    <font>
      <i/>
      <sz val="11"/>
      <name val="Cambria"/>
      <charset val="1"/>
    </font>
    <font>
      <b/>
      <sz val="11"/>
      <color theme="1"/>
      <name val="Calibri"/>
      <family val="2"/>
      <charset val="1"/>
    </font>
    <font>
      <sz val="11"/>
      <color theme="0"/>
      <name val="Calibri"/>
      <family val="2"/>
      <charset val="1"/>
    </font>
    <font>
      <b/>
      <sz val="11"/>
      <color rgb="FFF39C12"/>
      <name val="Cambria"/>
      <charset val="1"/>
    </font>
    <font>
      <b/>
      <sz val="11"/>
      <color rgb="FFE74C3C"/>
      <name val="Cambria"/>
      <charset val="1"/>
    </font>
    <font>
      <b/>
      <sz val="11"/>
      <color rgb="FFFFFFFF"/>
      <name val="Cambria"/>
      <charset val="1"/>
    </font>
    <font>
      <b/>
      <sz val="14"/>
      <name val="Cambria"/>
      <charset val="1"/>
    </font>
    <font>
      <b/>
      <sz val="11"/>
      <color rgb="FF1F4E79"/>
      <name val="Cambria"/>
      <charset val="1"/>
    </font>
    <font>
      <b/>
      <sz val="11"/>
      <color rgb="FF008000"/>
      <name val="Cambria"/>
      <family val="1"/>
      <charset val="1"/>
    </font>
    <font>
      <b/>
      <sz val="8"/>
      <color rgb="FFFFFFFF"/>
      <name val="Cambria"/>
      <family val="1"/>
      <charset val="1"/>
    </font>
    <font>
      <i/>
      <sz val="10"/>
      <name val="Cambria"/>
      <charset val="1"/>
    </font>
    <font>
      <b/>
      <sz val="11"/>
      <color rgb="FF9B59B6"/>
      <name val="Cambria"/>
      <charset val="1"/>
    </font>
    <font>
      <b/>
      <sz val="14"/>
      <name val="Calibri"/>
      <charset val="1"/>
    </font>
    <font>
      <b/>
      <sz val="11"/>
      <color rgb="FFFFFFFF"/>
      <name val="Calibri"/>
      <charset val="1"/>
    </font>
    <font>
      <sz val="10"/>
      <color theme="1"/>
      <name val="Arial"/>
      <family val="2"/>
      <charset val="1"/>
    </font>
    <font>
      <b/>
      <sz val="14"/>
      <color rgb="FF3498DB"/>
      <name val="Cambria"/>
      <charset val="1"/>
    </font>
    <font>
      <b/>
      <sz val="11"/>
      <color rgb="FF3498DB"/>
      <name val="Cambria"/>
      <charset val="1"/>
    </font>
    <font>
      <i/>
      <sz val="10"/>
      <color rgb="FFE74C3C"/>
      <name val="Cambria"/>
      <charset val="1"/>
    </font>
    <font>
      <b/>
      <sz val="16"/>
      <color rgb="FFE74C3C"/>
      <name val="Cambria"/>
      <charset val="1"/>
    </font>
    <font>
      <sz val="11"/>
      <color rgb="FF0000FF"/>
      <name val="Cambria"/>
      <family val="1"/>
      <charset val="1"/>
    </font>
    <font>
      <i/>
      <sz val="11"/>
      <color rgb="FF666666"/>
      <name val="Cambria"/>
      <family val="1"/>
      <charset val="1"/>
    </font>
    <font>
      <sz val="10"/>
      <color theme="0"/>
      <name val="Arial"/>
      <family val="2"/>
    </font>
    <font>
      <b/>
      <sz val="11"/>
      <color theme="0"/>
      <name val="Cambria"/>
      <family val="1"/>
    </font>
    <font>
      <b/>
      <sz val="14"/>
      <color rgb="FF1B2A4A"/>
      <name val="Arial"/>
      <family val="2"/>
    </font>
    <font>
      <b/>
      <sz val="11"/>
      <color rgb="FFFFFFFF"/>
      <name val="Arial"/>
      <family val="2"/>
    </font>
    <font>
      <sz val="10"/>
      <color rgb="FF333333"/>
      <name val="Arial"/>
      <family val="2"/>
    </font>
    <font>
      <b/>
      <sz val="10"/>
      <color rgb="FFFFFFFF"/>
      <name val="Arial"/>
      <family val="2"/>
    </font>
    <font>
      <b/>
      <sz val="10"/>
      <color rgb="FF333333"/>
      <name val="Arial"/>
      <family val="2"/>
    </font>
    <font>
      <b/>
      <sz val="11"/>
      <color rgb="FF1B2A4A"/>
      <name val="Arial"/>
      <family val="2"/>
    </font>
    <font>
      <i/>
      <sz val="9"/>
      <color rgb="FF666666"/>
      <name val="Arial"/>
      <family val="2"/>
    </font>
    <font>
      <b/>
      <sz val="9"/>
      <color rgb="FF666666"/>
      <name val="Arial"/>
      <family val="2"/>
    </font>
    <font>
      <i/>
      <sz val="10"/>
      <color rgb="FF666666"/>
      <name val="Arial"/>
      <family val="2"/>
    </font>
    <font>
      <sz val="11"/>
      <color theme="0" tint="-0.499984740745262"/>
      <name val="Calibri"/>
      <family val="2"/>
      <charset val="1"/>
    </font>
    <font>
      <b/>
      <sz val="11"/>
      <name val="Cambria"/>
      <family val="1"/>
    </font>
    <font>
      <sz val="11"/>
      <name val="Cambria"/>
      <family val="1"/>
    </font>
    <font>
      <b/>
      <sz val="12"/>
      <color theme="0"/>
      <name val="Cambria"/>
      <family val="1"/>
      <charset val="1"/>
    </font>
    <font>
      <b/>
      <sz val="10"/>
      <name val="Arial"/>
      <family val="2"/>
    </font>
    <font>
      <b/>
      <sz val="11"/>
      <color theme="1"/>
      <name val="Calibri"/>
      <family val="2"/>
    </font>
    <font>
      <b/>
      <sz val="14"/>
      <color theme="0"/>
      <name val="Cambria"/>
      <family val="1"/>
    </font>
    <font>
      <b/>
      <sz val="11"/>
      <color rgb="FF00B050"/>
      <name val="Cambria"/>
      <family val="1"/>
    </font>
    <font>
      <b/>
      <sz val="12"/>
      <color theme="0"/>
      <name val="Cambria"/>
      <family val="1"/>
    </font>
    <font>
      <b/>
      <sz val="11"/>
      <color theme="0"/>
      <name val="Calibri"/>
      <family val="2"/>
    </font>
    <font>
      <b/>
      <sz val="10"/>
      <color theme="0"/>
      <name val="Cambria"/>
      <family val="1"/>
    </font>
    <font>
      <b/>
      <sz val="10"/>
      <color theme="0"/>
      <name val="Arial"/>
      <family val="2"/>
    </font>
    <font>
      <b/>
      <sz val="11"/>
      <color rgb="FFFFFFFF"/>
      <name val="Cambria"/>
      <family val="1"/>
    </font>
    <font>
      <sz val="10"/>
      <color rgb="FF27AE60"/>
      <name val="Cambria"/>
      <family val="1"/>
    </font>
    <font>
      <i/>
      <sz val="10"/>
      <color rgb="FF7F8C8D"/>
      <name val="Cambria"/>
      <family val="1"/>
    </font>
    <font>
      <sz val="11"/>
      <color rgb="FFFF0000"/>
      <name val="Calibri"/>
      <family val="2"/>
      <charset val="1"/>
    </font>
    <font>
      <sz val="11"/>
      <color theme="0"/>
      <name val="Calibri"/>
      <family val="2"/>
      <scheme val="minor"/>
    </font>
    <font>
      <sz val="10"/>
      <name val="Arial"/>
      <family val="2"/>
    </font>
    <font>
      <sz val="9"/>
      <color rgb="FF666666"/>
      <name val="Arial"/>
      <family val="2"/>
    </font>
    <font>
      <b/>
      <sz val="11"/>
      <color rgb="FFD35400"/>
      <name val="Arial"/>
      <family val="2"/>
    </font>
    <font>
      <sz val="10"/>
      <color rgb="FF0070C0"/>
      <name val="Arial"/>
      <family val="2"/>
    </font>
    <font>
      <b/>
      <sz val="10"/>
      <color rgb="FFD35400"/>
      <name val="Arial"/>
      <family val="2"/>
    </font>
    <font>
      <b/>
      <sz val="12"/>
      <color theme="0"/>
      <name val="Arial"/>
      <family val="2"/>
    </font>
    <font>
      <b/>
      <sz val="12"/>
      <color theme="0"/>
      <name val="Cambria"/>
      <family val="1"/>
      <scheme val="major"/>
    </font>
    <font>
      <sz val="8"/>
      <name val="Arial"/>
      <family val="2"/>
    </font>
    <font>
      <b/>
      <sz val="11"/>
      <color rgb="FF1F4E79"/>
      <name val="Cambria"/>
      <family val="1"/>
    </font>
    <font>
      <b/>
      <sz val="8"/>
      <name val="Arial"/>
      <family val="2"/>
    </font>
    <font>
      <b/>
      <sz val="14"/>
      <color theme="0"/>
      <name val="Calibri"/>
      <family val="2"/>
      <charset val="1"/>
    </font>
    <font>
      <b/>
      <sz val="14"/>
      <color theme="0"/>
      <name val="Arial"/>
      <family val="2"/>
    </font>
    <font>
      <b/>
      <sz val="14"/>
      <color rgb="FF2C3E50"/>
      <name val="Arial"/>
      <family val="2"/>
    </font>
    <font>
      <i/>
      <sz val="10"/>
      <color rgb="FF7F8C8D"/>
      <name val="Arial"/>
      <family val="2"/>
    </font>
    <font>
      <sz val="10"/>
      <color rgb="FF0000FF"/>
      <name val="Arial"/>
      <family val="2"/>
    </font>
    <font>
      <sz val="10"/>
      <color rgb="FF555555"/>
      <name val="Arial"/>
      <family val="2"/>
    </font>
    <font>
      <b/>
      <sz val="11"/>
      <color rgb="FF1B5E20"/>
      <name val="Arial"/>
      <family val="2"/>
    </font>
    <font>
      <b/>
      <sz val="12"/>
      <color rgb="FF2C3E50"/>
      <name val="Arial"/>
      <family val="2"/>
    </font>
    <font>
      <i/>
      <sz val="9"/>
      <color rgb="FF1B5E20"/>
      <name val="Arial"/>
      <family val="2"/>
    </font>
    <font>
      <b/>
      <i/>
      <sz val="9"/>
      <color rgb="FF2C3E50"/>
      <name val="Arial"/>
      <family val="2"/>
    </font>
    <font>
      <b/>
      <sz val="10"/>
      <color rgb="FF1B5E20"/>
      <name val="Arial"/>
      <family val="2"/>
    </font>
    <font>
      <b/>
      <i/>
      <sz val="9"/>
      <color rgb="FF1B5E20"/>
      <name val="Arial"/>
      <family val="2"/>
    </font>
    <font>
      <b/>
      <sz val="14"/>
      <color rgb="FF2C3E50"/>
      <name val="Arial"/>
      <family val="2"/>
      <charset val="1"/>
    </font>
    <font>
      <i/>
      <sz val="10"/>
      <color rgb="FF7F8C8D"/>
      <name val="Arial"/>
      <family val="2"/>
      <charset val="1"/>
    </font>
    <font>
      <b/>
      <sz val="12"/>
      <color rgb="FF2C3E50"/>
      <name val="Arial"/>
      <family val="2"/>
      <charset val="1"/>
    </font>
    <font>
      <i/>
      <sz val="9"/>
      <color rgb="FF7F8C8D"/>
      <name val="Arial"/>
      <family val="2"/>
      <charset val="1"/>
    </font>
    <font>
      <b/>
      <sz val="11"/>
      <color rgb="FFFFFFFF"/>
      <name val="Arial"/>
      <family val="2"/>
      <charset val="1"/>
    </font>
    <font>
      <sz val="10"/>
      <color rgb="FF333333"/>
      <name val="Arial"/>
      <family val="2"/>
      <charset val="1"/>
    </font>
    <font>
      <sz val="10"/>
      <color rgb="FF0000FF"/>
      <name val="Arial"/>
      <family val="2"/>
      <charset val="1"/>
    </font>
    <font>
      <b/>
      <sz val="10"/>
      <color rgb="FF1B5E20"/>
      <name val="Arial"/>
      <family val="2"/>
      <charset val="1"/>
    </font>
    <font>
      <b/>
      <sz val="11"/>
      <color rgb="FF2C3E50"/>
      <name val="Arial"/>
      <family val="2"/>
      <charset val="1"/>
    </font>
    <font>
      <b/>
      <sz val="11"/>
      <color rgb="FF2C3E50"/>
      <name val="Cambria"/>
      <family val="1"/>
    </font>
    <font>
      <i/>
      <sz val="9"/>
      <color rgb="FF1B5E20"/>
      <name val="Arial"/>
      <family val="2"/>
      <charset val="1"/>
    </font>
    <font>
      <i/>
      <sz val="9"/>
      <color rgb="FFE65100"/>
      <name val="Arial"/>
      <family val="2"/>
      <charset val="1"/>
    </font>
    <font>
      <sz val="11"/>
      <color rgb="FF008000"/>
      <name val="Cambria"/>
      <family val="1"/>
    </font>
    <font>
      <sz val="9"/>
      <color rgb="FF666666"/>
      <name val="Arial"/>
      <family val="2"/>
      <charset val="1"/>
    </font>
    <font>
      <b/>
      <sz val="12"/>
      <color rgb="FFE65100"/>
      <name val="Arial"/>
      <family val="2"/>
      <charset val="1"/>
    </font>
    <font>
      <b/>
      <sz val="10"/>
      <name val="Arial"/>
      <family val="2"/>
      <charset val="1"/>
    </font>
    <font>
      <sz val="11"/>
      <color rgb="FF333333"/>
      <name val="Cambria"/>
      <family val="1"/>
    </font>
    <font>
      <b/>
      <sz val="11"/>
      <color rgb="FFE65100"/>
      <name val="Arial"/>
      <family val="2"/>
      <charset val="1"/>
    </font>
    <font>
      <b/>
      <i/>
      <sz val="9"/>
      <color rgb="FF1B5E20"/>
      <name val="Arial"/>
      <family val="2"/>
      <charset val="1"/>
    </font>
    <font>
      <b/>
      <sz val="12"/>
      <color theme="1" tint="0.34998626667073579"/>
      <name val="Calibri"/>
      <family val="2"/>
      <charset val="1"/>
    </font>
    <font>
      <b/>
      <sz val="12"/>
      <color theme="1" tint="0.34998626667073579"/>
      <name val="Arial"/>
      <family val="2"/>
    </font>
    <font>
      <sz val="10"/>
      <color theme="1" tint="0.34998626667073579"/>
      <name val="Arial"/>
      <family val="2"/>
    </font>
    <font>
      <i/>
      <sz val="10"/>
      <name val="Cambria"/>
      <family val="1"/>
    </font>
  </fonts>
  <fills count="73">
    <fill>
      <patternFill patternType="none"/>
    </fill>
    <fill>
      <patternFill patternType="gray125"/>
    </fill>
    <fill>
      <patternFill patternType="solid">
        <fgColor rgb="FF1ABC9C"/>
        <bgColor rgb="FF27AE60"/>
      </patternFill>
    </fill>
    <fill>
      <patternFill patternType="solid">
        <fgColor rgb="FF2C3E50"/>
        <bgColor rgb="FF1F4E79"/>
      </patternFill>
    </fill>
    <fill>
      <patternFill patternType="solid">
        <fgColor rgb="FFECF0F1"/>
        <bgColor rgb="FFF3F3F3"/>
      </patternFill>
    </fill>
    <fill>
      <patternFill patternType="solid">
        <fgColor rgb="FFFFEB9C"/>
        <bgColor rgb="FFFFF2CC"/>
      </patternFill>
    </fill>
    <fill>
      <patternFill patternType="solid">
        <fgColor rgb="FFFFC7CE"/>
        <bgColor rgb="FFD9D9D9"/>
      </patternFill>
    </fill>
    <fill>
      <patternFill patternType="solid">
        <fgColor rgb="FF27AE60"/>
        <bgColor rgb="FF00B050"/>
      </patternFill>
    </fill>
    <fill>
      <patternFill patternType="solid">
        <fgColor rgb="FFD5DBDB"/>
        <bgColor rgb="FFD9D9D9"/>
      </patternFill>
    </fill>
    <fill>
      <patternFill patternType="solid">
        <fgColor rgb="FFD9E2F3"/>
        <bgColor rgb="FFD6E4F0"/>
      </patternFill>
    </fill>
    <fill>
      <patternFill patternType="solid">
        <fgColor rgb="FFE8E8E8"/>
        <bgColor rgb="FFECF0F1"/>
      </patternFill>
    </fill>
    <fill>
      <patternFill patternType="solid">
        <fgColor rgb="FF1F4E79"/>
        <bgColor rgb="FF2C3E50"/>
      </patternFill>
    </fill>
    <fill>
      <patternFill patternType="solid">
        <fgColor theme="0" tint="-0.14999847407452621"/>
        <bgColor rgb="FFD5DBDB"/>
      </patternFill>
    </fill>
    <fill>
      <patternFill patternType="solid">
        <fgColor rgb="FFD6E4F0"/>
        <bgColor rgb="FFD9E2F3"/>
      </patternFill>
    </fill>
    <fill>
      <patternFill patternType="solid">
        <fgColor rgb="FF4472C4"/>
        <bgColor rgb="FF2980B9"/>
      </patternFill>
    </fill>
    <fill>
      <patternFill patternType="solid">
        <fgColor rgb="FFFFFF00"/>
        <bgColor rgb="FFFFC000"/>
      </patternFill>
    </fill>
    <fill>
      <patternFill patternType="solid">
        <fgColor theme="0"/>
        <bgColor rgb="FFF3F3F3"/>
      </patternFill>
    </fill>
    <fill>
      <patternFill patternType="solid">
        <fgColor rgb="FFF39C12"/>
        <bgColor rgb="FFFFC000"/>
      </patternFill>
    </fill>
    <fill>
      <patternFill patternType="solid">
        <fgColor theme="0" tint="-0.249977111117893"/>
        <bgColor rgb="FFBDC3C7"/>
      </patternFill>
    </fill>
    <fill>
      <patternFill patternType="solid">
        <fgColor rgb="FFD6DCE4"/>
        <bgColor rgb="FFD5DBDB"/>
      </patternFill>
    </fill>
    <fill>
      <patternFill patternType="solid">
        <fgColor rgb="FF8E44AD"/>
        <bgColor rgb="FF9B59B6"/>
      </patternFill>
    </fill>
    <fill>
      <patternFill patternType="solid">
        <fgColor rgb="FF9B59B6"/>
        <bgColor rgb="FF8E44AD"/>
      </patternFill>
    </fill>
    <fill>
      <patternFill patternType="solid">
        <fgColor rgb="FFFFC000"/>
        <bgColor rgb="FFF39C12"/>
      </patternFill>
    </fill>
    <fill>
      <patternFill patternType="solid">
        <fgColor rgb="FF92D050"/>
        <bgColor rgb="FFBFBFBF"/>
      </patternFill>
    </fill>
    <fill>
      <patternFill patternType="solid">
        <fgColor rgb="FF3498DB"/>
        <bgColor rgb="FF2980B9"/>
      </patternFill>
    </fill>
    <fill>
      <patternFill patternType="solid">
        <fgColor rgb="FFE74C3C"/>
        <bgColor rgb="FF993300"/>
      </patternFill>
    </fill>
    <fill>
      <patternFill patternType="solid">
        <fgColor rgb="FFF3F3F3"/>
        <bgColor rgb="FFECF0F1"/>
      </patternFill>
    </fill>
    <fill>
      <patternFill patternType="solid">
        <fgColor rgb="FFFFF2CC"/>
        <bgColor rgb="FFF3F3F3"/>
      </patternFill>
    </fill>
    <fill>
      <patternFill patternType="solid">
        <fgColor rgb="FFDBEEF3"/>
        <bgColor rgb="FFD6E4F0"/>
      </patternFill>
    </fill>
    <fill>
      <patternFill patternType="solid">
        <fgColor rgb="FFD9EAD3"/>
        <bgColor rgb="FFD6E4F0"/>
      </patternFill>
    </fill>
    <fill>
      <patternFill patternType="solid">
        <fgColor theme="3" tint="-0.249977111117893"/>
        <bgColor indexed="64"/>
      </patternFill>
    </fill>
    <fill>
      <patternFill patternType="solid">
        <fgColor theme="0" tint="-4.9989318521683403E-2"/>
        <bgColor indexed="64"/>
      </patternFill>
    </fill>
    <fill>
      <patternFill patternType="solid">
        <fgColor rgb="FF1B2A4A"/>
        <bgColor rgb="FF333333"/>
      </patternFill>
    </fill>
    <fill>
      <patternFill patternType="solid">
        <fgColor rgb="FFF2F2F2"/>
        <bgColor rgb="FFFFFFFF"/>
      </patternFill>
    </fill>
    <fill>
      <patternFill patternType="solid">
        <fgColor theme="0" tint="-0.14999847407452621"/>
        <bgColor indexed="64"/>
      </patternFill>
    </fill>
    <fill>
      <patternFill patternType="solid">
        <fgColor theme="3" tint="-0.249977111117893"/>
        <bgColor rgb="FFF3F3F3"/>
      </patternFill>
    </fill>
    <fill>
      <patternFill patternType="solid">
        <fgColor theme="3" tint="-0.249977111117893"/>
        <bgColor rgb="FF1F4E79"/>
      </patternFill>
    </fill>
    <fill>
      <patternFill patternType="solid">
        <fgColor theme="3" tint="-0.249977111117893"/>
        <bgColor rgb="FFFFC000"/>
      </patternFill>
    </fill>
    <fill>
      <patternFill patternType="solid">
        <fgColor rgb="FF00B050"/>
        <bgColor rgb="FF27AE60"/>
      </patternFill>
    </fill>
    <fill>
      <patternFill patternType="solid">
        <fgColor rgb="FF00B050"/>
        <bgColor indexed="64"/>
      </patternFill>
    </fill>
    <fill>
      <patternFill patternType="solid">
        <fgColor theme="0" tint="-0.249977111117893"/>
        <bgColor rgb="FFD9D9D9"/>
      </patternFill>
    </fill>
    <fill>
      <patternFill patternType="solid">
        <fgColor theme="0" tint="-0.249977111117893"/>
        <bgColor indexed="64"/>
      </patternFill>
    </fill>
    <fill>
      <patternFill patternType="solid">
        <fgColor rgb="FF92D050"/>
        <bgColor indexed="64"/>
      </patternFill>
    </fill>
    <fill>
      <patternFill patternType="solid">
        <fgColor theme="4" tint="-0.499984740745262"/>
        <bgColor rgb="FF2C3E50"/>
      </patternFill>
    </fill>
    <fill>
      <patternFill patternType="solid">
        <fgColor theme="4" tint="-0.499984740745262"/>
        <bgColor rgb="FFD5DBDB"/>
      </patternFill>
    </fill>
    <fill>
      <patternFill patternType="solid">
        <fgColor theme="4" tint="-0.499984740745262"/>
        <bgColor indexed="64"/>
      </patternFill>
    </fill>
    <fill>
      <patternFill patternType="solid">
        <fgColor theme="4" tint="-0.499984740745262"/>
        <bgColor rgb="FFD9D9D9"/>
      </patternFill>
    </fill>
    <fill>
      <patternFill patternType="solid">
        <fgColor rgb="FFFFF3E0"/>
        <bgColor rgb="FFFDEBD0"/>
      </patternFill>
    </fill>
    <fill>
      <patternFill patternType="solid">
        <fgColor rgb="FFD35400"/>
        <bgColor rgb="FF993300"/>
      </patternFill>
    </fill>
    <fill>
      <patternFill patternType="solid">
        <fgColor rgb="FFFDEBD0"/>
        <bgColor rgb="FFFFF3E0"/>
      </patternFill>
    </fill>
    <fill>
      <patternFill patternType="solid">
        <fgColor theme="4" tint="-0.249977111117893"/>
        <bgColor indexed="64"/>
      </patternFill>
    </fill>
    <fill>
      <patternFill patternType="solid">
        <fgColor theme="9" tint="-0.249977111117893"/>
        <bgColor indexed="64"/>
      </patternFill>
    </fill>
    <fill>
      <patternFill patternType="solid">
        <fgColor theme="9" tint="-0.249977111117893"/>
        <bgColor rgb="FF993300"/>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2C3E50"/>
        <bgColor rgb="FF34495E"/>
      </patternFill>
    </fill>
    <fill>
      <patternFill patternType="solid">
        <fgColor rgb="FFE8F5E9"/>
        <bgColor rgb="FFEEEEEE"/>
      </patternFill>
    </fill>
    <fill>
      <patternFill patternType="solid">
        <fgColor rgb="FFEEEEEE"/>
        <bgColor rgb="FFE8F5E9"/>
      </patternFill>
    </fill>
    <fill>
      <patternFill patternType="solid">
        <fgColor rgb="FFFFCDD2"/>
        <bgColor rgb="FFCCCCCC"/>
      </patternFill>
    </fill>
    <fill>
      <patternFill patternType="solid">
        <fgColor rgb="FFFFF9C4"/>
        <bgColor rgb="FFFFFF99"/>
      </patternFill>
    </fill>
    <fill>
      <patternFill patternType="solid">
        <fgColor rgb="FFC8E6C9"/>
        <bgColor rgb="FFCCCCCC"/>
      </patternFill>
    </fill>
    <fill>
      <patternFill patternType="solid">
        <fgColor rgb="FF2C3E50"/>
        <bgColor rgb="FF254061"/>
      </patternFill>
    </fill>
    <fill>
      <patternFill patternType="solid">
        <fgColor rgb="FFE8F5E9"/>
        <bgColor rgb="FFEBF1DE"/>
      </patternFill>
    </fill>
    <fill>
      <patternFill patternType="solid">
        <fgColor rgb="FFEEEEEE"/>
        <bgColor rgb="FFECF0F1"/>
      </patternFill>
    </fill>
    <fill>
      <patternFill patternType="solid">
        <fgColor rgb="FFFFCDD2"/>
        <bgColor rgb="FFFFC7CE"/>
      </patternFill>
    </fill>
    <fill>
      <patternFill patternType="solid">
        <fgColor rgb="FFFFF9C4"/>
        <bgColor rgb="FFFFF2CC"/>
      </patternFill>
    </fill>
    <fill>
      <patternFill patternType="solid">
        <fgColor rgb="FFC8E6C9"/>
        <bgColor rgb="FFD9EAD3"/>
      </patternFill>
    </fill>
    <fill>
      <patternFill patternType="solid">
        <fgColor rgb="FFE65100"/>
        <bgColor rgb="FFD35400"/>
      </patternFill>
    </fill>
    <fill>
      <patternFill patternType="solid">
        <fgColor rgb="FFFCC8D7"/>
        <bgColor rgb="FFFFF2CC"/>
      </patternFill>
    </fill>
    <fill>
      <patternFill patternType="solid">
        <fgColor theme="6" tint="0.79998168889431442"/>
        <bgColor rgb="FFFFC7CE"/>
      </patternFill>
    </fill>
    <fill>
      <patternFill patternType="solid">
        <fgColor theme="0" tint="-4.9989318521683403E-2"/>
        <bgColor rgb="FFFFC7CE"/>
      </patternFill>
    </fill>
    <fill>
      <patternFill patternType="solid">
        <fgColor theme="0" tint="-4.9989318521683403E-2"/>
        <bgColor rgb="FFFFF2CC"/>
      </patternFill>
    </fill>
  </fills>
  <borders count="41">
    <border>
      <left/>
      <right/>
      <top/>
      <bottom/>
      <diagonal/>
    </border>
    <border>
      <left style="thin">
        <color rgb="FFBDC3C7"/>
      </left>
      <right style="thin">
        <color rgb="FFBDC3C7"/>
      </right>
      <top style="thin">
        <color rgb="FFBDC3C7"/>
      </top>
      <bottom style="thin">
        <color rgb="FFBDC3C7"/>
      </bottom>
      <diagonal/>
    </border>
    <border>
      <left style="thin">
        <color auto="1"/>
      </left>
      <right style="thin">
        <color auto="1"/>
      </right>
      <top style="thin">
        <color auto="1"/>
      </top>
      <bottom style="thin">
        <color auto="1"/>
      </bottom>
      <diagonal/>
    </border>
    <border>
      <left style="thin">
        <color auto="1"/>
      </left>
      <right style="thin">
        <color auto="1"/>
      </right>
      <top style="double">
        <color auto="1"/>
      </top>
      <bottom style="double">
        <color auto="1"/>
      </bottom>
      <diagonal/>
    </border>
    <border>
      <left/>
      <right style="thin">
        <color rgb="FFBDC3C7"/>
      </right>
      <top/>
      <bottom style="thin">
        <color rgb="FFBDC3C7"/>
      </bottom>
      <diagonal/>
    </border>
    <border>
      <left style="thin">
        <color rgb="FFBDC3C7"/>
      </left>
      <right/>
      <top/>
      <bottom/>
      <diagonal/>
    </border>
    <border>
      <left style="thin">
        <color rgb="FFBDC3C7"/>
      </left>
      <right style="thin">
        <color rgb="FFBDC3C7"/>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DC3C7"/>
      </left>
      <right/>
      <top style="thin">
        <color rgb="FFBDC3C7"/>
      </top>
      <bottom style="thin">
        <color rgb="FFBDC3C7"/>
      </bottom>
      <diagonal/>
    </border>
    <border>
      <left style="medium">
        <color rgb="FFCCCCCC"/>
      </left>
      <right style="medium">
        <color rgb="FFCCCCCC"/>
      </right>
      <top style="medium">
        <color rgb="FFCCCCCC"/>
      </top>
      <bottom style="medium">
        <color rgb="FFCCCCCC"/>
      </bottom>
      <diagonal/>
    </border>
    <border>
      <left style="thin">
        <color rgb="FFCCCCCC"/>
      </left>
      <right style="thin">
        <color rgb="FFCCCCCC"/>
      </right>
      <top style="thin">
        <color rgb="FFCCCCCC"/>
      </top>
      <bottom style="thin">
        <color rgb="FFCCCCCC"/>
      </bottom>
      <diagonal/>
    </border>
    <border>
      <left style="thin">
        <color rgb="FFBDC3C7"/>
      </left>
      <right style="thin">
        <color rgb="FFBDC3C7"/>
      </right>
      <top style="thin">
        <color rgb="FFBDC3C7"/>
      </top>
      <bottom/>
      <diagonal/>
    </border>
    <border>
      <left style="thin">
        <color rgb="FFBDC3C7"/>
      </left>
      <right style="thin">
        <color rgb="FFBDC3C7"/>
      </right>
      <top/>
      <bottom style="thin">
        <color rgb="FFBDC3C7"/>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BDC3C7"/>
      </right>
      <top style="thin">
        <color indexed="64"/>
      </top>
      <bottom style="thin">
        <color rgb="FFBDC3C7"/>
      </bottom>
      <diagonal/>
    </border>
    <border>
      <left style="thin">
        <color rgb="FFBDC3C7"/>
      </left>
      <right style="thin">
        <color rgb="FFBDC3C7"/>
      </right>
      <top style="thin">
        <color indexed="64"/>
      </top>
      <bottom style="thin">
        <color rgb="FFBDC3C7"/>
      </bottom>
      <diagonal/>
    </border>
    <border>
      <left style="thin">
        <color rgb="FFBDC3C7"/>
      </left>
      <right style="thin">
        <color indexed="64"/>
      </right>
      <top style="thin">
        <color indexed="64"/>
      </top>
      <bottom style="thin">
        <color rgb="FFBDC3C7"/>
      </bottom>
      <diagonal/>
    </border>
    <border>
      <left style="thin">
        <color indexed="64"/>
      </left>
      <right style="thin">
        <color rgb="FFBDC3C7"/>
      </right>
      <top style="thin">
        <color rgb="FFBDC3C7"/>
      </top>
      <bottom style="thin">
        <color rgb="FFBDC3C7"/>
      </bottom>
      <diagonal/>
    </border>
    <border>
      <left style="thin">
        <color rgb="FFBDC3C7"/>
      </left>
      <right style="thin">
        <color indexed="64"/>
      </right>
      <top style="thin">
        <color rgb="FFBDC3C7"/>
      </top>
      <bottom style="thin">
        <color rgb="FFBDC3C7"/>
      </bottom>
      <diagonal/>
    </border>
    <border>
      <left style="thin">
        <color indexed="64"/>
      </left>
      <right style="thin">
        <color rgb="FFBDC3C7"/>
      </right>
      <top style="thin">
        <color rgb="FFBDC3C7"/>
      </top>
      <bottom style="thin">
        <color indexed="64"/>
      </bottom>
      <diagonal/>
    </border>
    <border>
      <left style="thin">
        <color rgb="FFBDC3C7"/>
      </left>
      <right style="thin">
        <color rgb="FFBDC3C7"/>
      </right>
      <top style="thin">
        <color rgb="FFBDC3C7"/>
      </top>
      <bottom style="thin">
        <color indexed="64"/>
      </bottom>
      <diagonal/>
    </border>
    <border>
      <left style="thin">
        <color rgb="FFBDC3C7"/>
      </left>
      <right style="thin">
        <color indexed="64"/>
      </right>
      <top style="thin">
        <color rgb="FFBDC3C7"/>
      </top>
      <bottom style="thin">
        <color indexed="64"/>
      </bottom>
      <diagonal/>
    </border>
    <border>
      <left style="thin">
        <color indexed="64"/>
      </left>
      <right style="thin">
        <color rgb="FFBDC3C7"/>
      </right>
      <top style="thin">
        <color indexed="64"/>
      </top>
      <bottom/>
      <diagonal/>
    </border>
    <border>
      <left style="thin">
        <color rgb="FFBDC3C7"/>
      </left>
      <right style="thin">
        <color rgb="FFBDC3C7"/>
      </right>
      <top style="thin">
        <color indexed="64"/>
      </top>
      <bottom/>
      <diagonal/>
    </border>
    <border>
      <left style="thin">
        <color rgb="FFBDC3C7"/>
      </left>
      <right style="thin">
        <color indexed="64"/>
      </right>
      <top style="thin">
        <color indexed="64"/>
      </top>
      <bottom/>
      <diagonal/>
    </border>
    <border>
      <left style="thin">
        <color indexed="64"/>
      </left>
      <right/>
      <top style="thin">
        <color indexed="64"/>
      </top>
      <bottom/>
      <diagonal/>
    </border>
    <border>
      <left/>
      <right/>
      <top/>
      <bottom style="thin">
        <color rgb="FFBDC3C7"/>
      </bottom>
      <diagonal/>
    </border>
    <border>
      <left/>
      <right/>
      <top/>
      <bottom style="thin">
        <color rgb="FFD9D9D9"/>
      </bottom>
      <diagonal/>
    </border>
    <border>
      <left/>
      <right/>
      <top/>
      <bottom style="thin">
        <color rgb="FFCCCCCC"/>
      </bottom>
      <diagonal/>
    </border>
    <border>
      <left/>
      <right/>
      <top style="medium">
        <color rgb="FF2C3E50"/>
      </top>
      <bottom style="medium">
        <color rgb="FF2C3E50"/>
      </bottom>
      <diagonal/>
    </border>
  </borders>
  <cellStyleXfs count="3">
    <xf numFmtId="0" fontId="0" fillId="0" borderId="0"/>
    <xf numFmtId="44" fontId="1" fillId="0" borderId="0" applyBorder="0" applyAlignment="0" applyProtection="0"/>
    <xf numFmtId="9" fontId="1" fillId="0" borderId="0" applyBorder="0" applyAlignment="0" applyProtection="0"/>
  </cellStyleXfs>
  <cellXfs count="479">
    <xf numFmtId="0" fontId="0" fillId="0" borderId="0" xfId="0"/>
    <xf numFmtId="0" fontId="5" fillId="2" borderId="1" xfId="0" applyFont="1" applyFill="1" applyBorder="1"/>
    <xf numFmtId="0" fontId="28" fillId="0" borderId="1" xfId="0" applyFont="1" applyBorder="1"/>
    <xf numFmtId="0" fontId="23" fillId="0" borderId="0" xfId="0" applyFont="1"/>
    <xf numFmtId="0" fontId="5" fillId="3" borderId="0" xfId="0" applyFont="1" applyFill="1"/>
    <xf numFmtId="0" fontId="0" fillId="2" borderId="0" xfId="0" applyFill="1"/>
    <xf numFmtId="0" fontId="6" fillId="0" borderId="0" xfId="0" applyFont="1"/>
    <xf numFmtId="164" fontId="6" fillId="0" borderId="0" xfId="0" applyNumberFormat="1" applyFont="1" applyAlignment="1">
      <alignment horizontal="right"/>
    </xf>
    <xf numFmtId="0" fontId="7" fillId="0" borderId="0" xfId="0" applyFont="1" applyAlignment="1">
      <alignment horizontal="center"/>
    </xf>
    <xf numFmtId="0" fontId="8" fillId="0" borderId="0" xfId="0" applyFont="1"/>
    <xf numFmtId="164" fontId="9" fillId="0" borderId="0" xfId="0" applyNumberFormat="1" applyFont="1"/>
    <xf numFmtId="0" fontId="9" fillId="0" borderId="0" xfId="0" applyFont="1"/>
    <xf numFmtId="164" fontId="10" fillId="0" borderId="0" xfId="0" applyNumberFormat="1" applyFont="1"/>
    <xf numFmtId="0" fontId="11" fillId="0" borderId="0" xfId="0" applyFont="1"/>
    <xf numFmtId="0" fontId="12" fillId="0" borderId="0" xfId="0" applyFont="1"/>
    <xf numFmtId="0" fontId="13" fillId="4" borderId="0" xfId="0" applyFont="1" applyFill="1"/>
    <xf numFmtId="164" fontId="13" fillId="4" borderId="0" xfId="0" applyNumberFormat="1" applyFont="1" applyFill="1" applyAlignment="1">
      <alignment horizontal="right"/>
    </xf>
    <xf numFmtId="0" fontId="0" fillId="4" borderId="0" xfId="0" applyFill="1"/>
    <xf numFmtId="0" fontId="14" fillId="4" borderId="0" xfId="0" applyFont="1" applyFill="1" applyAlignment="1">
      <alignment horizontal="center"/>
    </xf>
    <xf numFmtId="0" fontId="15" fillId="0" borderId="0" xfId="0" applyFont="1"/>
    <xf numFmtId="0" fontId="0" fillId="5" borderId="0" xfId="0" applyFill="1" applyAlignment="1">
      <alignment horizontal="center"/>
    </xf>
    <xf numFmtId="0" fontId="5" fillId="3" borderId="0" xfId="0" applyFont="1" applyFill="1" applyAlignment="1">
      <alignment horizontal="center"/>
    </xf>
    <xf numFmtId="0" fontId="16" fillId="0" borderId="0" xfId="0" applyFont="1"/>
    <xf numFmtId="1" fontId="0" fillId="6" borderId="0" xfId="0" applyNumberFormat="1" applyFill="1" applyAlignment="1">
      <alignment horizontal="center"/>
    </xf>
    <xf numFmtId="164" fontId="17" fillId="4" borderId="0" xfId="0" applyNumberFormat="1" applyFont="1" applyFill="1" applyAlignment="1">
      <alignment horizontal="right"/>
    </xf>
    <xf numFmtId="165" fontId="19" fillId="0" borderId="0" xfId="0" applyNumberFormat="1" applyFont="1" applyAlignment="1">
      <alignment horizontal="center"/>
    </xf>
    <xf numFmtId="0" fontId="20" fillId="0" borderId="0" xfId="0" applyFont="1"/>
    <xf numFmtId="0" fontId="6" fillId="0" borderId="0" xfId="0" applyFont="1" applyAlignment="1">
      <alignment horizontal="right"/>
    </xf>
    <xf numFmtId="0" fontId="14" fillId="0" borderId="0" xfId="0" applyFont="1"/>
    <xf numFmtId="10" fontId="6" fillId="0" borderId="0" xfId="0" applyNumberFormat="1" applyFont="1" applyAlignment="1">
      <alignment horizontal="right"/>
    </xf>
    <xf numFmtId="0" fontId="5" fillId="7" borderId="0" xfId="0" applyFont="1" applyFill="1"/>
    <xf numFmtId="0" fontId="21" fillId="0" borderId="0" xfId="0" applyFont="1"/>
    <xf numFmtId="0" fontId="22" fillId="0" borderId="0" xfId="0" applyFont="1"/>
    <xf numFmtId="0" fontId="13" fillId="0" borderId="0" xfId="0" applyFont="1"/>
    <xf numFmtId="0" fontId="24" fillId="0" borderId="0" xfId="0" applyFont="1"/>
    <xf numFmtId="0" fontId="13" fillId="8" borderId="1" xfId="0" applyFont="1" applyFill="1" applyBorder="1"/>
    <xf numFmtId="0" fontId="13" fillId="8" borderId="1" xfId="0" applyFont="1" applyFill="1" applyBorder="1" applyAlignment="1">
      <alignment horizontal="right"/>
    </xf>
    <xf numFmtId="0" fontId="0" fillId="0" borderId="1" xfId="0" applyBorder="1" applyAlignment="1">
      <alignment horizontal="right"/>
    </xf>
    <xf numFmtId="0" fontId="0" fillId="0" borderId="1" xfId="0" applyBorder="1"/>
    <xf numFmtId="164" fontId="0" fillId="0" borderId="1" xfId="0" applyNumberFormat="1" applyBorder="1" applyAlignment="1">
      <alignment horizontal="right"/>
    </xf>
    <xf numFmtId="164" fontId="13" fillId="8" borderId="1" xfId="0" applyNumberFormat="1" applyFont="1" applyFill="1" applyBorder="1" applyAlignment="1">
      <alignment horizontal="right"/>
    </xf>
    <xf numFmtId="0" fontId="26" fillId="0" borderId="0" xfId="0" applyFont="1"/>
    <xf numFmtId="0" fontId="14" fillId="9" borderId="0" xfId="0" applyFont="1" applyFill="1"/>
    <xf numFmtId="3" fontId="0" fillId="0" borderId="1" xfId="0" applyNumberFormat="1" applyBorder="1" applyAlignment="1">
      <alignment horizontal="right"/>
    </xf>
    <xf numFmtId="0" fontId="0" fillId="8" borderId="1" xfId="0" applyFill="1" applyBorder="1" applyAlignment="1">
      <alignment horizontal="right"/>
    </xf>
    <xf numFmtId="0" fontId="32" fillId="11" borderId="2" xfId="0" applyFont="1" applyFill="1" applyBorder="1" applyAlignment="1">
      <alignment horizontal="center"/>
    </xf>
    <xf numFmtId="4" fontId="0" fillId="0" borderId="2" xfId="0" applyNumberFormat="1" applyBorder="1" applyAlignment="1">
      <alignment horizontal="right"/>
    </xf>
    <xf numFmtId="3" fontId="0" fillId="0" borderId="0" xfId="0" applyNumberFormat="1"/>
    <xf numFmtId="4" fontId="14" fillId="13" borderId="3" xfId="0" applyNumberFormat="1" applyFont="1" applyFill="1" applyBorder="1" applyAlignment="1">
      <alignment horizontal="right"/>
    </xf>
    <xf numFmtId="0" fontId="0" fillId="0" borderId="4" xfId="0" applyBorder="1"/>
    <xf numFmtId="0" fontId="33" fillId="14" borderId="0" xfId="0" applyFont="1" applyFill="1" applyAlignment="1">
      <alignment horizontal="center"/>
    </xf>
    <xf numFmtId="0" fontId="5" fillId="2" borderId="1" xfId="0" applyFont="1" applyFill="1" applyBorder="1" applyAlignment="1">
      <alignment horizontal="right"/>
    </xf>
    <xf numFmtId="164" fontId="5" fillId="2" borderId="1" xfId="0" applyNumberFormat="1" applyFont="1" applyFill="1" applyBorder="1" applyAlignment="1">
      <alignment horizontal="right"/>
    </xf>
    <xf numFmtId="0" fontId="34" fillId="0" borderId="1" xfId="0" applyFont="1" applyBorder="1"/>
    <xf numFmtId="164" fontId="35" fillId="0" borderId="1" xfId="0" applyNumberFormat="1" applyFont="1" applyBorder="1" applyAlignment="1">
      <alignment horizontal="right"/>
    </xf>
    <xf numFmtId="0" fontId="35" fillId="0" borderId="1" xfId="0" applyFont="1" applyBorder="1" applyAlignment="1">
      <alignment horizontal="right"/>
    </xf>
    <xf numFmtId="10" fontId="35" fillId="0" borderId="1" xfId="0" applyNumberFormat="1" applyFont="1" applyBorder="1" applyAlignment="1">
      <alignment horizontal="right"/>
    </xf>
    <xf numFmtId="0" fontId="13" fillId="8" borderId="1" xfId="0" applyFont="1" applyFill="1" applyBorder="1" applyAlignment="1">
      <alignment horizontal="center"/>
    </xf>
    <xf numFmtId="164" fontId="0" fillId="0" borderId="1" xfId="0" applyNumberFormat="1" applyBorder="1"/>
    <xf numFmtId="164" fontId="36" fillId="0" borderId="1" xfId="0" applyNumberFormat="1" applyFont="1" applyBorder="1"/>
    <xf numFmtId="0" fontId="13" fillId="0" borderId="1" xfId="0" applyFont="1" applyBorder="1"/>
    <xf numFmtId="164" fontId="37" fillId="0" borderId="1" xfId="0" applyNumberFormat="1" applyFont="1" applyBorder="1"/>
    <xf numFmtId="165" fontId="0" fillId="0" borderId="0" xfId="0" applyNumberFormat="1"/>
    <xf numFmtId="166" fontId="19" fillId="0" borderId="0" xfId="0" applyNumberFormat="1" applyFont="1"/>
    <xf numFmtId="0" fontId="0" fillId="0" borderId="1" xfId="0" applyBorder="1" applyAlignment="1">
      <alignment horizontal="center"/>
    </xf>
    <xf numFmtId="167" fontId="35" fillId="0" borderId="1" xfId="0" applyNumberFormat="1" applyFont="1" applyBorder="1" applyAlignment="1">
      <alignment horizontal="center"/>
    </xf>
    <xf numFmtId="168" fontId="0" fillId="0" borderId="1" xfId="0" applyNumberFormat="1" applyBorder="1" applyAlignment="1">
      <alignment horizontal="right"/>
    </xf>
    <xf numFmtId="167" fontId="0" fillId="0" borderId="1" xfId="0" applyNumberFormat="1" applyBorder="1" applyAlignment="1">
      <alignment horizontal="right"/>
    </xf>
    <xf numFmtId="0" fontId="39" fillId="0" borderId="1" xfId="0" applyFont="1" applyBorder="1"/>
    <xf numFmtId="168" fontId="13" fillId="0" borderId="1" xfId="0" applyNumberFormat="1" applyFont="1" applyBorder="1" applyAlignment="1">
      <alignment horizontal="right"/>
    </xf>
    <xf numFmtId="168" fontId="36" fillId="0" borderId="1" xfId="0" applyNumberFormat="1" applyFont="1" applyBorder="1" applyAlignment="1">
      <alignment horizontal="right"/>
    </xf>
    <xf numFmtId="167" fontId="36" fillId="0" borderId="1" xfId="0" applyNumberFormat="1" applyFont="1" applyBorder="1" applyAlignment="1">
      <alignment horizontal="right"/>
    </xf>
    <xf numFmtId="0" fontId="0" fillId="15" borderId="1" xfId="0" applyFill="1" applyBorder="1"/>
    <xf numFmtId="168" fontId="0" fillId="15" borderId="1" xfId="0" applyNumberFormat="1" applyFill="1" applyBorder="1" applyAlignment="1">
      <alignment horizontal="right"/>
    </xf>
    <xf numFmtId="0" fontId="39" fillId="8" borderId="1" xfId="0" applyFont="1" applyFill="1" applyBorder="1"/>
    <xf numFmtId="0" fontId="39" fillId="8" borderId="6" xfId="0" applyFont="1" applyFill="1" applyBorder="1"/>
    <xf numFmtId="168" fontId="36" fillId="0" borderId="1" xfId="0" applyNumberFormat="1" applyFont="1" applyBorder="1"/>
    <xf numFmtId="168" fontId="0" fillId="0" borderId="0" xfId="0" applyNumberFormat="1"/>
    <xf numFmtId="9" fontId="19" fillId="0" borderId="0" xfId="0" applyNumberFormat="1" applyFont="1"/>
    <xf numFmtId="167" fontId="0" fillId="0" borderId="0" xfId="0" applyNumberFormat="1"/>
    <xf numFmtId="0" fontId="41" fillId="16" borderId="7" xfId="0" applyFont="1" applyFill="1" applyBorder="1"/>
    <xf numFmtId="0" fontId="42" fillId="16" borderId="8" xfId="0" applyFont="1" applyFill="1" applyBorder="1"/>
    <xf numFmtId="166" fontId="19" fillId="0" borderId="8" xfId="0" applyNumberFormat="1" applyFont="1" applyBorder="1"/>
    <xf numFmtId="166" fontId="43" fillId="16" borderId="8" xfId="0" applyNumberFormat="1" applyFont="1" applyFill="1" applyBorder="1"/>
    <xf numFmtId="164" fontId="0" fillId="0" borderId="0" xfId="0" applyNumberFormat="1"/>
    <xf numFmtId="0" fontId="47" fillId="0" borderId="0" xfId="0" applyFont="1"/>
    <xf numFmtId="0" fontId="45" fillId="0" borderId="0" xfId="0" applyFont="1"/>
    <xf numFmtId="0" fontId="49" fillId="0" borderId="0" xfId="0" applyFont="1"/>
    <xf numFmtId="0" fontId="0" fillId="8" borderId="1" xfId="0" applyFill="1" applyBorder="1"/>
    <xf numFmtId="0" fontId="36" fillId="0" borderId="1" xfId="0" applyFont="1" applyBorder="1"/>
    <xf numFmtId="0" fontId="36" fillId="0" borderId="1" xfId="0" applyFont="1" applyBorder="1" applyAlignment="1">
      <alignment horizontal="center"/>
    </xf>
    <xf numFmtId="0" fontId="50" fillId="0" borderId="1" xfId="0" applyFont="1" applyBorder="1"/>
    <xf numFmtId="0" fontId="50" fillId="0" borderId="1" xfId="0" applyFont="1" applyBorder="1" applyAlignment="1">
      <alignment horizontal="center"/>
    </xf>
    <xf numFmtId="0" fontId="51" fillId="0" borderId="1" xfId="0" applyFont="1" applyBorder="1"/>
    <xf numFmtId="1" fontId="51" fillId="0" borderId="1" xfId="0" applyNumberFormat="1" applyFont="1" applyBorder="1" applyAlignment="1">
      <alignment horizontal="center"/>
    </xf>
    <xf numFmtId="0" fontId="13" fillId="0" borderId="1" xfId="0" applyFont="1" applyBorder="1" applyAlignment="1">
      <alignment horizontal="center"/>
    </xf>
    <xf numFmtId="165" fontId="0" fillId="0" borderId="1" xfId="0" applyNumberFormat="1" applyBorder="1"/>
    <xf numFmtId="164" fontId="50" fillId="0" borderId="1" xfId="0" applyNumberFormat="1" applyFont="1" applyBorder="1" applyAlignment="1">
      <alignment horizontal="center"/>
    </xf>
    <xf numFmtId="164" fontId="36" fillId="0" borderId="1" xfId="0" applyNumberFormat="1" applyFont="1" applyBorder="1" applyAlignment="1">
      <alignment horizontal="center"/>
    </xf>
    <xf numFmtId="169" fontId="0" fillId="0" borderId="1" xfId="0" applyNumberFormat="1" applyBorder="1" applyAlignment="1">
      <alignment horizontal="center"/>
    </xf>
    <xf numFmtId="0" fontId="53" fillId="0" borderId="0" xfId="0" applyFont="1"/>
    <xf numFmtId="0" fontId="32" fillId="11" borderId="0" xfId="0" applyFont="1" applyFill="1" applyAlignment="1">
      <alignment horizontal="center"/>
    </xf>
    <xf numFmtId="0" fontId="14" fillId="19" borderId="0" xfId="0" applyFont="1" applyFill="1"/>
    <xf numFmtId="1" fontId="0" fillId="0" borderId="0" xfId="0" applyNumberFormat="1"/>
    <xf numFmtId="0" fontId="54" fillId="0" borderId="0" xfId="0" applyFont="1"/>
    <xf numFmtId="3" fontId="54" fillId="0" borderId="0" xfId="0" applyNumberFormat="1" applyFont="1"/>
    <xf numFmtId="0" fontId="0" fillId="19" borderId="0" xfId="0" applyFill="1"/>
    <xf numFmtId="0" fontId="0" fillId="0" borderId="10" xfId="0" applyBorder="1"/>
    <xf numFmtId="0" fontId="0" fillId="0" borderId="11" xfId="0" applyBorder="1"/>
    <xf numFmtId="0" fontId="32" fillId="11" borderId="12" xfId="0" applyFont="1" applyFill="1" applyBorder="1" applyAlignment="1">
      <alignment horizontal="center"/>
    </xf>
    <xf numFmtId="0" fontId="32" fillId="11" borderId="13" xfId="0" applyFont="1" applyFill="1" applyBorder="1" applyAlignment="1">
      <alignment horizontal="center"/>
    </xf>
    <xf numFmtId="0" fontId="0" fillId="0" borderId="12" xfId="0" applyBorder="1"/>
    <xf numFmtId="0" fontId="0" fillId="0" borderId="13" xfId="0" applyBorder="1"/>
    <xf numFmtId="3" fontId="0" fillId="0" borderId="13" xfId="0" applyNumberFormat="1" applyBorder="1"/>
    <xf numFmtId="3" fontId="0" fillId="0" borderId="12" xfId="0" applyNumberFormat="1" applyBorder="1"/>
    <xf numFmtId="1" fontId="0" fillId="0" borderId="12" xfId="0" applyNumberFormat="1" applyBorder="1"/>
    <xf numFmtId="1" fontId="0" fillId="0" borderId="13" xfId="0" applyNumberFormat="1" applyBorder="1"/>
    <xf numFmtId="3" fontId="54" fillId="0" borderId="12" xfId="0" applyNumberFormat="1" applyFont="1" applyBorder="1"/>
    <xf numFmtId="3" fontId="54" fillId="0" borderId="13" xfId="0" applyNumberFormat="1" applyFont="1" applyBorder="1"/>
    <xf numFmtId="0" fontId="0" fillId="0" borderId="14" xfId="0" applyBorder="1"/>
    <xf numFmtId="0" fontId="0" fillId="0" borderId="15" xfId="0" applyBorder="1"/>
    <xf numFmtId="0" fontId="0" fillId="0" borderId="16" xfId="0" applyBorder="1"/>
    <xf numFmtId="0" fontId="48" fillId="0" borderId="0" xfId="0" applyFont="1"/>
    <xf numFmtId="0" fontId="55" fillId="0" borderId="0" xfId="0" applyFont="1"/>
    <xf numFmtId="165" fontId="19" fillId="0" borderId="0" xfId="0" applyNumberFormat="1" applyFont="1"/>
    <xf numFmtId="0" fontId="52" fillId="3" borderId="17" xfId="0" applyFont="1" applyFill="1" applyBorder="1"/>
    <xf numFmtId="0" fontId="56" fillId="3" borderId="17" xfId="0" applyFont="1" applyFill="1" applyBorder="1"/>
    <xf numFmtId="9" fontId="0" fillId="0" borderId="1" xfId="0" applyNumberFormat="1" applyBorder="1"/>
    <xf numFmtId="164" fontId="0" fillId="0" borderId="1" xfId="0" applyNumberFormat="1" applyBorder="1" applyAlignment="1">
      <alignment horizontal="center"/>
    </xf>
    <xf numFmtId="164" fontId="51" fillId="0" borderId="1" xfId="0" applyNumberFormat="1" applyFont="1" applyBorder="1" applyAlignment="1">
      <alignment horizontal="center"/>
    </xf>
    <xf numFmtId="164" fontId="45" fillId="0" borderId="1" xfId="0" applyNumberFormat="1" applyFont="1" applyBorder="1" applyAlignment="1">
      <alignment horizontal="center"/>
    </xf>
    <xf numFmtId="0" fontId="40" fillId="17" borderId="17" xfId="0" applyFont="1" applyFill="1" applyBorder="1"/>
    <xf numFmtId="0" fontId="45" fillId="0" borderId="1" xfId="0" applyFont="1" applyBorder="1"/>
    <xf numFmtId="164" fontId="53" fillId="0" borderId="1" xfId="0" applyNumberFormat="1" applyFont="1" applyBorder="1" applyAlignment="1">
      <alignment horizontal="center"/>
    </xf>
    <xf numFmtId="0" fontId="57" fillId="0" borderId="1" xfId="0" applyFont="1" applyBorder="1"/>
    <xf numFmtId="1" fontId="0" fillId="0" borderId="1" xfId="0" applyNumberFormat="1" applyBorder="1" applyAlignment="1">
      <alignment horizontal="center"/>
    </xf>
    <xf numFmtId="170" fontId="58" fillId="0" borderId="1" xfId="0" applyNumberFormat="1" applyFont="1" applyBorder="1" applyAlignment="1">
      <alignment horizontal="center"/>
    </xf>
    <xf numFmtId="170" fontId="13" fillId="0" borderId="1" xfId="0" applyNumberFormat="1" applyFont="1" applyBorder="1" applyAlignment="1">
      <alignment horizontal="center"/>
    </xf>
    <xf numFmtId="164" fontId="46" fillId="0" borderId="1" xfId="0" applyNumberFormat="1" applyFont="1" applyBorder="1" applyAlignment="1">
      <alignment horizontal="center"/>
    </xf>
    <xf numFmtId="0" fontId="0" fillId="14" borderId="0" xfId="0" applyFill="1"/>
    <xf numFmtId="0" fontId="60" fillId="14" borderId="0" xfId="0" applyFont="1" applyFill="1" applyAlignment="1">
      <alignment horizontal="center"/>
    </xf>
    <xf numFmtId="0" fontId="17" fillId="9" borderId="0" xfId="0" applyFont="1" applyFill="1"/>
    <xf numFmtId="0" fontId="0" fillId="9" borderId="0" xfId="0" applyFill="1"/>
    <xf numFmtId="3" fontId="0" fillId="0" borderId="0" xfId="0" applyNumberFormat="1" applyAlignment="1">
      <alignment horizontal="right"/>
    </xf>
    <xf numFmtId="0" fontId="61" fillId="0" borderId="18" xfId="0" applyFont="1" applyBorder="1" applyAlignment="1">
      <alignment horizontal="right" wrapText="1"/>
    </xf>
    <xf numFmtId="0" fontId="17" fillId="0" borderId="0" xfId="0" applyFont="1"/>
    <xf numFmtId="3" fontId="17" fillId="0" borderId="0" xfId="0" applyNumberFormat="1" applyFont="1" applyAlignment="1">
      <alignment horizontal="right"/>
    </xf>
    <xf numFmtId="0" fontId="9" fillId="22" borderId="0" xfId="0" applyFont="1" applyFill="1"/>
    <xf numFmtId="3" fontId="9" fillId="22" borderId="0" xfId="0" applyNumberFormat="1" applyFont="1" applyFill="1" applyAlignment="1">
      <alignment horizontal="right"/>
    </xf>
    <xf numFmtId="3" fontId="0" fillId="23" borderId="0" xfId="0" applyNumberFormat="1" applyFill="1" applyAlignment="1">
      <alignment horizontal="right"/>
    </xf>
    <xf numFmtId="0" fontId="13" fillId="14" borderId="0" xfId="0" applyFont="1" applyFill="1"/>
    <xf numFmtId="3" fontId="13" fillId="0" borderId="0" xfId="0" applyNumberFormat="1" applyFont="1" applyAlignment="1">
      <alignment horizontal="right"/>
    </xf>
    <xf numFmtId="168" fontId="0" fillId="0" borderId="1" xfId="0" applyNumberFormat="1" applyBorder="1"/>
    <xf numFmtId="164" fontId="0" fillId="0" borderId="0" xfId="0" applyNumberFormat="1" applyAlignment="1">
      <alignment horizontal="center"/>
    </xf>
    <xf numFmtId="0" fontId="62" fillId="0" borderId="1" xfId="0" applyFont="1" applyBorder="1" applyAlignment="1">
      <alignment horizontal="center"/>
    </xf>
    <xf numFmtId="0" fontId="63" fillId="0" borderId="1" xfId="0" applyFont="1" applyBorder="1" applyAlignment="1">
      <alignment horizontal="center"/>
    </xf>
    <xf numFmtId="171" fontId="0" fillId="0" borderId="1" xfId="0" applyNumberFormat="1" applyBorder="1" applyAlignment="1">
      <alignment horizontal="center"/>
    </xf>
    <xf numFmtId="0" fontId="64" fillId="0" borderId="1" xfId="0" applyFont="1" applyBorder="1"/>
    <xf numFmtId="168" fontId="58" fillId="0" borderId="1" xfId="0" applyNumberFormat="1" applyFont="1" applyBorder="1"/>
    <xf numFmtId="164" fontId="34" fillId="0" borderId="0" xfId="0" applyNumberFormat="1" applyFont="1" applyAlignment="1">
      <alignment horizontal="center"/>
    </xf>
    <xf numFmtId="0" fontId="0" fillId="0" borderId="2" xfId="0" applyBorder="1"/>
    <xf numFmtId="3" fontId="0" fillId="0" borderId="2" xfId="0" applyNumberFormat="1" applyBorder="1"/>
    <xf numFmtId="0" fontId="0" fillId="26" borderId="2" xfId="0" applyFill="1" applyBorder="1"/>
    <xf numFmtId="3" fontId="0" fillId="26" borderId="2" xfId="0" applyNumberFormat="1" applyFill="1" applyBorder="1"/>
    <xf numFmtId="0" fontId="0" fillId="27" borderId="2" xfId="0" applyFill="1" applyBorder="1"/>
    <xf numFmtId="1" fontId="66" fillId="27" borderId="2" xfId="0" applyNumberFormat="1" applyFont="1" applyFill="1" applyBorder="1"/>
    <xf numFmtId="0" fontId="39" fillId="28" borderId="2" xfId="0" applyFont="1" applyFill="1" applyBorder="1"/>
    <xf numFmtId="3" fontId="39" fillId="28" borderId="2" xfId="0" applyNumberFormat="1" applyFont="1" applyFill="1" applyBorder="1"/>
    <xf numFmtId="0" fontId="39" fillId="29" borderId="2" xfId="0" applyFont="1" applyFill="1" applyBorder="1"/>
    <xf numFmtId="3" fontId="39" fillId="29" borderId="2" xfId="0" applyNumberFormat="1" applyFont="1" applyFill="1" applyBorder="1"/>
    <xf numFmtId="1" fontId="0" fillId="0" borderId="2" xfId="0" applyNumberFormat="1" applyBorder="1"/>
    <xf numFmtId="172" fontId="0" fillId="0" borderId="2" xfId="0" applyNumberFormat="1" applyBorder="1"/>
    <xf numFmtId="173" fontId="0" fillId="0" borderId="2" xfId="0" applyNumberFormat="1" applyBorder="1"/>
    <xf numFmtId="164" fontId="0" fillId="0" borderId="2" xfId="0" applyNumberFormat="1" applyBorder="1"/>
    <xf numFmtId="0" fontId="39" fillId="0" borderId="0" xfId="0" applyFont="1"/>
    <xf numFmtId="0" fontId="67" fillId="0" borderId="0" xfId="0" applyFont="1"/>
    <xf numFmtId="0" fontId="0" fillId="0" borderId="0" xfId="0" applyAlignment="1">
      <alignment horizontal="right"/>
    </xf>
    <xf numFmtId="0" fontId="28" fillId="0" borderId="0" xfId="0" applyFont="1"/>
    <xf numFmtId="0" fontId="13" fillId="8" borderId="0" xfId="0" applyFont="1" applyFill="1" applyAlignment="1">
      <alignment horizontal="right"/>
    </xf>
    <xf numFmtId="164" fontId="0" fillId="0" borderId="0" xfId="0" applyNumberFormat="1" applyAlignment="1">
      <alignment horizontal="right"/>
    </xf>
    <xf numFmtId="164" fontId="13" fillId="8" borderId="0" xfId="0" applyNumberFormat="1" applyFont="1" applyFill="1" applyAlignment="1">
      <alignment horizontal="right"/>
    </xf>
    <xf numFmtId="164" fontId="5" fillId="2" borderId="0" xfId="0" applyNumberFormat="1" applyFont="1" applyFill="1" applyAlignment="1">
      <alignment horizontal="right"/>
    </xf>
    <xf numFmtId="0" fontId="29" fillId="9" borderId="2" xfId="0" applyFont="1" applyFill="1" applyBorder="1" applyAlignment="1">
      <alignment horizontal="center"/>
    </xf>
    <xf numFmtId="4" fontId="30" fillId="0" borderId="2" xfId="0" applyNumberFormat="1" applyFont="1" applyBorder="1" applyAlignment="1">
      <alignment horizontal="center"/>
    </xf>
    <xf numFmtId="4" fontId="31" fillId="0" borderId="2" xfId="0" applyNumberFormat="1" applyFont="1" applyBorder="1" applyAlignment="1">
      <alignment horizontal="center"/>
    </xf>
    <xf numFmtId="4" fontId="14" fillId="10" borderId="2" xfId="0" applyNumberFormat="1" applyFont="1" applyFill="1" applyBorder="1" applyAlignment="1">
      <alignment horizontal="center"/>
    </xf>
    <xf numFmtId="4" fontId="0" fillId="0" borderId="2" xfId="0" applyNumberFormat="1" applyBorder="1" applyAlignment="1">
      <alignment horizontal="center"/>
    </xf>
    <xf numFmtId="4" fontId="13" fillId="13" borderId="2" xfId="0" applyNumberFormat="1" applyFont="1" applyFill="1" applyBorder="1" applyAlignment="1">
      <alignment horizontal="center"/>
    </xf>
    <xf numFmtId="4" fontId="0" fillId="0" borderId="0" xfId="0" applyNumberFormat="1"/>
    <xf numFmtId="9" fontId="1" fillId="0" borderId="0" xfId="2"/>
    <xf numFmtId="167" fontId="1" fillId="0" borderId="0" xfId="2" applyNumberFormat="1"/>
    <xf numFmtId="10" fontId="1" fillId="0" borderId="0" xfId="2" applyNumberFormat="1"/>
    <xf numFmtId="44" fontId="1" fillId="0" borderId="0" xfId="1"/>
    <xf numFmtId="0" fontId="0" fillId="30" borderId="0" xfId="0" applyFill="1"/>
    <xf numFmtId="0" fontId="49" fillId="30" borderId="0" xfId="0" applyFont="1" applyFill="1"/>
    <xf numFmtId="44" fontId="68" fillId="30" borderId="0" xfId="1" applyFont="1" applyFill="1"/>
    <xf numFmtId="0" fontId="69" fillId="30" borderId="0" xfId="0" applyFont="1" applyFill="1"/>
    <xf numFmtId="0" fontId="13" fillId="31" borderId="0" xfId="0" applyFont="1" applyFill="1"/>
    <xf numFmtId="165" fontId="0" fillId="31" borderId="0" xfId="0" applyNumberFormat="1" applyFill="1"/>
    <xf numFmtId="0" fontId="0" fillId="31" borderId="0" xfId="0" applyFill="1"/>
    <xf numFmtId="0" fontId="74" fillId="33" borderId="19" xfId="0" applyFont="1" applyFill="1" applyBorder="1"/>
    <xf numFmtId="0" fontId="71" fillId="32" borderId="0" xfId="0" applyFont="1" applyFill="1" applyAlignment="1">
      <alignment horizontal="left" vertical="center"/>
    </xf>
    <xf numFmtId="0" fontId="72" fillId="0" borderId="19" xfId="0" applyFont="1" applyBorder="1"/>
    <xf numFmtId="0" fontId="73" fillId="32" borderId="19" xfId="0" applyFont="1" applyFill="1" applyBorder="1" applyAlignment="1">
      <alignment horizontal="center" vertical="center"/>
    </xf>
    <xf numFmtId="164" fontId="72" fillId="0" borderId="19" xfId="0" applyNumberFormat="1" applyFont="1" applyBorder="1"/>
    <xf numFmtId="0" fontId="75" fillId="0" borderId="0" xfId="0" applyFont="1"/>
    <xf numFmtId="0" fontId="74" fillId="0" borderId="19" xfId="0" applyFont="1" applyBorder="1"/>
    <xf numFmtId="0" fontId="72" fillId="0" borderId="19" xfId="0" applyFont="1" applyBorder="1" applyAlignment="1">
      <alignment horizontal="center" vertical="center"/>
    </xf>
    <xf numFmtId="168" fontId="72" fillId="0" borderId="19" xfId="0" applyNumberFormat="1" applyFont="1" applyBorder="1"/>
    <xf numFmtId="0" fontId="76" fillId="0" borderId="0" xfId="0" applyFont="1"/>
    <xf numFmtId="0" fontId="77" fillId="0" borderId="0" xfId="0" applyFont="1"/>
    <xf numFmtId="0" fontId="73" fillId="32" borderId="0" xfId="0" applyFont="1" applyFill="1" applyAlignment="1">
      <alignment horizontal="center" vertical="center"/>
    </xf>
    <xf numFmtId="0" fontId="0" fillId="33" borderId="19" xfId="0" applyFill="1" applyBorder="1"/>
    <xf numFmtId="168" fontId="74" fillId="33" borderId="19" xfId="0" applyNumberFormat="1" applyFont="1" applyFill="1" applyBorder="1"/>
    <xf numFmtId="0" fontId="74" fillId="32" borderId="0" xfId="0" applyFont="1" applyFill="1"/>
    <xf numFmtId="0" fontId="0" fillId="32" borderId="0" xfId="0" applyFill="1"/>
    <xf numFmtId="168" fontId="71" fillId="32" borderId="0" xfId="0" applyNumberFormat="1" applyFont="1" applyFill="1"/>
    <xf numFmtId="0" fontId="79" fillId="0" borderId="0" xfId="0" applyFont="1"/>
    <xf numFmtId="0" fontId="80" fillId="8" borderId="1" xfId="0" applyFont="1" applyFill="1" applyBorder="1" applyAlignment="1">
      <alignment horizontal="center"/>
    </xf>
    <xf numFmtId="0" fontId="27" fillId="35" borderId="0" xfId="0" applyFont="1" applyFill="1"/>
    <xf numFmtId="0" fontId="82" fillId="35" borderId="0" xfId="0" applyFont="1" applyFill="1"/>
    <xf numFmtId="44" fontId="83" fillId="34" borderId="0" xfId="1" applyFont="1" applyFill="1"/>
    <xf numFmtId="0" fontId="84" fillId="12" borderId="1" xfId="0" applyFont="1" applyFill="1" applyBorder="1"/>
    <xf numFmtId="0" fontId="84" fillId="12" borderId="1" xfId="0" applyFont="1" applyFill="1" applyBorder="1" applyAlignment="1">
      <alignment horizontal="right"/>
    </xf>
    <xf numFmtId="164" fontId="84" fillId="12" borderId="1" xfId="0" applyNumberFormat="1" applyFont="1" applyFill="1" applyBorder="1" applyAlignment="1">
      <alignment horizontal="right"/>
    </xf>
    <xf numFmtId="0" fontId="84" fillId="34" borderId="1" xfId="0" applyFont="1" applyFill="1" applyBorder="1" applyAlignment="1">
      <alignment horizontal="right"/>
    </xf>
    <xf numFmtId="0" fontId="0" fillId="34" borderId="0" xfId="0" applyFill="1"/>
    <xf numFmtId="174" fontId="83" fillId="34" borderId="0" xfId="1" applyNumberFormat="1" applyFont="1" applyFill="1"/>
    <xf numFmtId="174" fontId="1" fillId="0" borderId="19" xfId="1" applyNumberFormat="1" applyBorder="1"/>
    <xf numFmtId="164" fontId="86" fillId="0" borderId="1" xfId="0" applyNumberFormat="1" applyFont="1" applyBorder="1"/>
    <xf numFmtId="164" fontId="81" fillId="0" borderId="1" xfId="0" applyNumberFormat="1" applyFont="1" applyBorder="1"/>
    <xf numFmtId="0" fontId="0" fillId="0" borderId="21" xfId="0" applyBorder="1"/>
    <xf numFmtId="0" fontId="13" fillId="8" borderId="2" xfId="0" applyFont="1" applyFill="1" applyBorder="1" applyAlignment="1">
      <alignment horizontal="center"/>
    </xf>
    <xf numFmtId="9" fontId="44" fillId="0" borderId="2" xfId="0" applyNumberFormat="1" applyFont="1" applyBorder="1"/>
    <xf numFmtId="0" fontId="13" fillId="4" borderId="2" xfId="0" applyFont="1" applyFill="1" applyBorder="1"/>
    <xf numFmtId="164" fontId="13" fillId="4" borderId="2" xfId="0" applyNumberFormat="1" applyFont="1" applyFill="1" applyBorder="1"/>
    <xf numFmtId="9" fontId="13" fillId="4" borderId="2" xfId="0" applyNumberFormat="1" applyFont="1" applyFill="1" applyBorder="1"/>
    <xf numFmtId="164" fontId="13" fillId="0" borderId="0" xfId="0" applyNumberFormat="1" applyFont="1"/>
    <xf numFmtId="0" fontId="13" fillId="40" borderId="1" xfId="0" applyFont="1" applyFill="1" applyBorder="1" applyAlignment="1">
      <alignment horizontal="center"/>
    </xf>
    <xf numFmtId="0" fontId="0" fillId="0" borderId="20" xfId="0" applyBorder="1"/>
    <xf numFmtId="0" fontId="13" fillId="40" borderId="28" xfId="0" applyFont="1" applyFill="1" applyBorder="1" applyAlignment="1">
      <alignment horizontal="center"/>
    </xf>
    <xf numFmtId="0" fontId="0" fillId="41" borderId="29" xfId="0" applyFill="1" applyBorder="1"/>
    <xf numFmtId="0" fontId="0" fillId="0" borderId="28" xfId="0" applyBorder="1" applyAlignment="1">
      <alignment horizontal="center"/>
    </xf>
    <xf numFmtId="0" fontId="0" fillId="0" borderId="29" xfId="0" applyBorder="1"/>
    <xf numFmtId="0" fontId="0" fillId="0" borderId="30" xfId="0" applyBorder="1" applyAlignment="1">
      <alignment horizontal="center"/>
    </xf>
    <xf numFmtId="164" fontId="34" fillId="0" borderId="31" xfId="0" applyNumberFormat="1" applyFont="1" applyBorder="1"/>
    <xf numFmtId="0" fontId="0" fillId="0" borderId="31" xfId="0" applyBorder="1"/>
    <xf numFmtId="0" fontId="0" fillId="0" borderId="32" xfId="0" applyBorder="1"/>
    <xf numFmtId="0" fontId="0" fillId="0" borderId="6" xfId="0" applyBorder="1"/>
    <xf numFmtId="0" fontId="0" fillId="0" borderId="28" xfId="0" applyBorder="1"/>
    <xf numFmtId="0" fontId="45" fillId="38" borderId="30" xfId="0" applyFont="1" applyFill="1" applyBorder="1"/>
    <xf numFmtId="164" fontId="4" fillId="38" borderId="31" xfId="0" applyNumberFormat="1" applyFont="1" applyFill="1" applyBorder="1"/>
    <xf numFmtId="0" fontId="0" fillId="39" borderId="31" xfId="0" applyFill="1" applyBorder="1"/>
    <xf numFmtId="0" fontId="0" fillId="39" borderId="32" xfId="0" applyFill="1" applyBorder="1"/>
    <xf numFmtId="0" fontId="13" fillId="8" borderId="28" xfId="0" applyFont="1" applyFill="1" applyBorder="1" applyAlignment="1">
      <alignment horizontal="center"/>
    </xf>
    <xf numFmtId="0" fontId="13" fillId="8" borderId="29" xfId="0" applyFont="1" applyFill="1" applyBorder="1" applyAlignment="1">
      <alignment horizontal="center"/>
    </xf>
    <xf numFmtId="0" fontId="0" fillId="0" borderId="29" xfId="0" applyBorder="1" applyAlignment="1">
      <alignment horizontal="center"/>
    </xf>
    <xf numFmtId="0" fontId="13" fillId="4" borderId="30" xfId="0" applyFont="1" applyFill="1" applyBorder="1"/>
    <xf numFmtId="164" fontId="13" fillId="4" borderId="31" xfId="0" applyNumberFormat="1" applyFont="1" applyFill="1" applyBorder="1"/>
    <xf numFmtId="0" fontId="0" fillId="4" borderId="31" xfId="0" applyFill="1" applyBorder="1"/>
    <xf numFmtId="0" fontId="0" fillId="4" borderId="32" xfId="0" applyFill="1" applyBorder="1"/>
    <xf numFmtId="0" fontId="69" fillId="30" borderId="36" xfId="0" applyFont="1" applyFill="1" applyBorder="1"/>
    <xf numFmtId="0" fontId="49" fillId="30" borderId="10" xfId="0" applyFont="1" applyFill="1" applyBorder="1"/>
    <xf numFmtId="0" fontId="49" fillId="30" borderId="11" xfId="0" applyFont="1" applyFill="1" applyBorder="1"/>
    <xf numFmtId="49" fontId="0" fillId="0" borderId="12" xfId="0" applyNumberFormat="1" applyBorder="1"/>
    <xf numFmtId="0" fontId="13" fillId="0" borderId="13" xfId="0" applyFont="1" applyBorder="1"/>
    <xf numFmtId="49" fontId="0" fillId="0" borderId="14" xfId="0" applyNumberFormat="1" applyBorder="1"/>
    <xf numFmtId="164" fontId="0" fillId="0" borderId="15" xfId="0" applyNumberFormat="1" applyBorder="1"/>
    <xf numFmtId="0" fontId="88" fillId="30" borderId="36" xfId="0" applyFont="1" applyFill="1" applyBorder="1"/>
    <xf numFmtId="0" fontId="88" fillId="30" borderId="10" xfId="0" applyFont="1" applyFill="1" applyBorder="1"/>
    <xf numFmtId="0" fontId="88" fillId="30" borderId="11" xfId="0" applyFont="1" applyFill="1" applyBorder="1"/>
    <xf numFmtId="0" fontId="0" fillId="31" borderId="12" xfId="0" applyFill="1" applyBorder="1"/>
    <xf numFmtId="0" fontId="0" fillId="31" borderId="13" xfId="0" applyFill="1" applyBorder="1"/>
    <xf numFmtId="0" fontId="48" fillId="0" borderId="12" xfId="0" applyFont="1" applyBorder="1"/>
    <xf numFmtId="166" fontId="19" fillId="0" borderId="2" xfId="0" applyNumberFormat="1" applyFont="1" applyBorder="1"/>
    <xf numFmtId="44" fontId="1" fillId="0" borderId="2" xfId="1" applyBorder="1"/>
    <xf numFmtId="9" fontId="19" fillId="0" borderId="2" xfId="0" applyNumberFormat="1" applyFont="1" applyBorder="1"/>
    <xf numFmtId="174" fontId="1" fillId="0" borderId="0" xfId="1" applyNumberFormat="1"/>
    <xf numFmtId="174" fontId="0" fillId="0" borderId="12" xfId="0" applyNumberFormat="1" applyBorder="1"/>
    <xf numFmtId="0" fontId="0" fillId="42" borderId="0" xfId="0" applyFill="1"/>
    <xf numFmtId="174" fontId="1" fillId="42" borderId="0" xfId="1" applyNumberFormat="1" applyFill="1"/>
    <xf numFmtId="3" fontId="0" fillId="42" borderId="12" xfId="0" applyNumberFormat="1" applyFill="1" applyBorder="1"/>
    <xf numFmtId="3" fontId="0" fillId="42" borderId="0" xfId="0" applyNumberFormat="1" applyFill="1"/>
    <xf numFmtId="3" fontId="0" fillId="42" borderId="13" xfId="0" applyNumberFormat="1" applyFill="1" applyBorder="1"/>
    <xf numFmtId="1" fontId="0" fillId="0" borderId="16" xfId="0" applyNumberFormat="1" applyBorder="1"/>
    <xf numFmtId="0" fontId="89" fillId="43" borderId="0" xfId="0" applyFont="1" applyFill="1" applyAlignment="1">
      <alignment horizontal="center"/>
    </xf>
    <xf numFmtId="0" fontId="49" fillId="44" borderId="0" xfId="0" applyFont="1" applyFill="1"/>
    <xf numFmtId="174" fontId="68" fillId="45" borderId="0" xfId="1" applyNumberFormat="1" applyFont="1" applyFill="1"/>
    <xf numFmtId="174" fontId="90" fillId="45" borderId="0" xfId="1" applyNumberFormat="1" applyFont="1" applyFill="1"/>
    <xf numFmtId="0" fontId="0" fillId="0" borderId="9" xfId="0" applyBorder="1" applyAlignment="1">
      <alignment horizontal="left"/>
    </xf>
    <xf numFmtId="0" fontId="80" fillId="0" borderId="1" xfId="0" applyFont="1" applyBorder="1"/>
    <xf numFmtId="0" fontId="69" fillId="46" borderId="1" xfId="0" applyFont="1" applyFill="1" applyBorder="1" applyAlignment="1">
      <alignment horizontal="center"/>
    </xf>
    <xf numFmtId="0" fontId="91" fillId="3" borderId="17" xfId="0" applyFont="1" applyFill="1" applyBorder="1"/>
    <xf numFmtId="174" fontId="1" fillId="0" borderId="1" xfId="1" applyNumberFormat="1" applyBorder="1" applyAlignment="1">
      <alignment horizontal="center" vertical="center"/>
    </xf>
    <xf numFmtId="0" fontId="92" fillId="0" borderId="0" xfId="0" applyFont="1"/>
    <xf numFmtId="9" fontId="21" fillId="0" borderId="0" xfId="0" applyNumberFormat="1" applyFont="1"/>
    <xf numFmtId="0" fontId="81" fillId="0" borderId="1" xfId="0" applyFont="1" applyBorder="1"/>
    <xf numFmtId="44" fontId="83" fillId="34" borderId="20" xfId="1" applyFont="1" applyFill="1" applyBorder="1"/>
    <xf numFmtId="4" fontId="14" fillId="10" borderId="9" xfId="0" applyNumberFormat="1" applyFont="1" applyFill="1" applyBorder="1" applyAlignment="1">
      <alignment horizontal="center"/>
    </xf>
    <xf numFmtId="0" fontId="85" fillId="36" borderId="21" xfId="0" applyFont="1" applyFill="1" applyBorder="1"/>
    <xf numFmtId="0" fontId="49" fillId="30" borderId="37" xfId="0" applyFont="1" applyFill="1" applyBorder="1"/>
    <xf numFmtId="0" fontId="49" fillId="30" borderId="4" xfId="0" applyFont="1" applyFill="1" applyBorder="1"/>
    <xf numFmtId="44" fontId="83" fillId="0" borderId="0" xfId="1" applyFont="1" applyBorder="1"/>
    <xf numFmtId="4" fontId="14" fillId="0" borderId="0" xfId="0" applyNumberFormat="1" applyFont="1" applyAlignment="1">
      <alignment horizontal="center"/>
    </xf>
    <xf numFmtId="44" fontId="83" fillId="0" borderId="0" xfId="1" applyFont="1"/>
    <xf numFmtId="0" fontId="0" fillId="0" borderId="38" xfId="0" applyBorder="1"/>
    <xf numFmtId="0" fontId="97" fillId="0" borderId="38" xfId="0" applyFont="1" applyBorder="1"/>
    <xf numFmtId="0" fontId="98" fillId="47" borderId="0" xfId="0" applyFont="1" applyFill="1"/>
    <xf numFmtId="0" fontId="0" fillId="47" borderId="0" xfId="0" applyFill="1"/>
    <xf numFmtId="0" fontId="99" fillId="0" borderId="38" xfId="0" applyFont="1" applyBorder="1"/>
    <xf numFmtId="3" fontId="99" fillId="0" borderId="38" xfId="0" applyNumberFormat="1" applyFont="1" applyBorder="1"/>
    <xf numFmtId="0" fontId="100" fillId="49" borderId="0" xfId="0" applyFont="1" applyFill="1"/>
    <xf numFmtId="0" fontId="0" fillId="49" borderId="0" xfId="0" applyFill="1"/>
    <xf numFmtId="3" fontId="100" fillId="49" borderId="0" xfId="0" applyNumberFormat="1" applyFont="1" applyFill="1"/>
    <xf numFmtId="174" fontId="83" fillId="0" borderId="0" xfId="1" applyNumberFormat="1" applyFont="1"/>
    <xf numFmtId="0" fontId="101" fillId="50" borderId="0" xfId="0" applyFont="1" applyFill="1"/>
    <xf numFmtId="0" fontId="49" fillId="50" borderId="0" xfId="0" applyFont="1" applyFill="1"/>
    <xf numFmtId="0" fontId="0" fillId="51" borderId="0" xfId="0" applyFill="1"/>
    <xf numFmtId="0" fontId="73" fillId="52" borderId="0" xfId="0" applyFont="1" applyFill="1" applyAlignment="1">
      <alignment horizontal="center"/>
    </xf>
    <xf numFmtId="0" fontId="71" fillId="48" borderId="0" xfId="0" applyFont="1" applyFill="1"/>
    <xf numFmtId="0" fontId="84" fillId="0" borderId="0" xfId="0" applyFont="1"/>
    <xf numFmtId="0" fontId="48" fillId="48" borderId="0" xfId="0" applyFont="1" applyFill="1"/>
    <xf numFmtId="174" fontId="102" fillId="51" borderId="0" xfId="1" applyNumberFormat="1" applyFont="1" applyFill="1"/>
    <xf numFmtId="0" fontId="95" fillId="51" borderId="0" xfId="0" applyFont="1" applyFill="1"/>
    <xf numFmtId="174" fontId="103" fillId="0" borderId="12" xfId="1" applyNumberFormat="1" applyFont="1" applyBorder="1"/>
    <xf numFmtId="174" fontId="103" fillId="0" borderId="0" xfId="1" applyNumberFormat="1" applyFont="1"/>
    <xf numFmtId="174" fontId="103" fillId="0" borderId="13" xfId="1" applyNumberFormat="1" applyFont="1" applyBorder="1"/>
    <xf numFmtId="174" fontId="103" fillId="53" borderId="12" xfId="1" applyNumberFormat="1" applyFont="1" applyFill="1" applyBorder="1"/>
    <xf numFmtId="174" fontId="103" fillId="53" borderId="0" xfId="1" applyNumberFormat="1" applyFont="1" applyFill="1"/>
    <xf numFmtId="174" fontId="103" fillId="53" borderId="13" xfId="1" applyNumberFormat="1" applyFont="1" applyFill="1" applyBorder="1"/>
    <xf numFmtId="174" fontId="103" fillId="54" borderId="12" xfId="1" applyNumberFormat="1" applyFont="1" applyFill="1" applyBorder="1"/>
    <xf numFmtId="0" fontId="104" fillId="0" borderId="0" xfId="0" applyFont="1"/>
    <xf numFmtId="174" fontId="105" fillId="0" borderId="12" xfId="1" applyNumberFormat="1" applyFont="1" applyBorder="1"/>
    <xf numFmtId="174" fontId="105" fillId="0" borderId="0" xfId="1" applyNumberFormat="1" applyFont="1"/>
    <xf numFmtId="174" fontId="105" fillId="0" borderId="13" xfId="1" applyNumberFormat="1" applyFont="1" applyBorder="1"/>
    <xf numFmtId="0" fontId="80" fillId="0" borderId="0" xfId="0" applyFont="1"/>
    <xf numFmtId="0" fontId="106" fillId="55" borderId="0" xfId="0" applyFont="1" applyFill="1"/>
    <xf numFmtId="9" fontId="107" fillId="55" borderId="0" xfId="2" applyFont="1" applyFill="1"/>
    <xf numFmtId="0" fontId="71" fillId="56" borderId="0" xfId="0" applyFont="1" applyFill="1" applyAlignment="1">
      <alignment horizontal="left" vertical="center"/>
    </xf>
    <xf numFmtId="0" fontId="71" fillId="56" borderId="0" xfId="0" applyFont="1" applyFill="1" applyAlignment="1">
      <alignment horizontal="center" vertical="center"/>
    </xf>
    <xf numFmtId="0" fontId="72" fillId="0" borderId="39" xfId="0" applyFont="1" applyBorder="1"/>
    <xf numFmtId="164" fontId="110" fillId="0" borderId="39" xfId="0" applyNumberFormat="1" applyFont="1" applyBorder="1" applyAlignment="1">
      <alignment horizontal="center"/>
    </xf>
    <xf numFmtId="167" fontId="111" fillId="0" borderId="39" xfId="0" applyNumberFormat="1" applyFont="1" applyBorder="1" applyAlignment="1">
      <alignment horizontal="center"/>
    </xf>
    <xf numFmtId="0" fontId="76" fillId="0" borderId="39" xfId="0" applyFont="1" applyBorder="1"/>
    <xf numFmtId="0" fontId="112" fillId="57" borderId="40" xfId="0" applyFont="1" applyFill="1" applyBorder="1"/>
    <xf numFmtId="164" fontId="112" fillId="57" borderId="40" xfId="0" applyNumberFormat="1" applyFont="1" applyFill="1" applyBorder="1" applyAlignment="1">
      <alignment horizontal="center"/>
    </xf>
    <xf numFmtId="167" fontId="112" fillId="57" borderId="40" xfId="0" applyNumberFormat="1" applyFont="1" applyFill="1" applyBorder="1" applyAlignment="1">
      <alignment horizontal="center"/>
    </xf>
    <xf numFmtId="0" fontId="0" fillId="57" borderId="40" xfId="0" applyFill="1" applyBorder="1"/>
    <xf numFmtId="0" fontId="72" fillId="0" borderId="39" xfId="0" applyFont="1" applyBorder="1" applyAlignment="1">
      <alignment horizontal="center"/>
    </xf>
    <xf numFmtId="0" fontId="71" fillId="56" borderId="0" xfId="0" applyFont="1" applyFill="1" applyAlignment="1">
      <alignment horizontal="left"/>
    </xf>
    <xf numFmtId="0" fontId="71" fillId="56" borderId="0" xfId="0" applyFont="1" applyFill="1" applyAlignment="1">
      <alignment horizontal="center"/>
    </xf>
    <xf numFmtId="0" fontId="72" fillId="0" borderId="39" xfId="0" applyFont="1" applyBorder="1" applyAlignment="1">
      <alignment horizontal="left" wrapText="1"/>
    </xf>
    <xf numFmtId="0" fontId="72" fillId="0" borderId="39" xfId="0" applyFont="1" applyBorder="1" applyAlignment="1">
      <alignment horizontal="center" wrapText="1"/>
    </xf>
    <xf numFmtId="0" fontId="76" fillId="0" borderId="39" xfId="0" applyFont="1" applyBorder="1" applyAlignment="1">
      <alignment horizontal="left" wrapText="1"/>
    </xf>
    <xf numFmtId="0" fontId="116" fillId="57" borderId="39" xfId="0" applyFont="1" applyFill="1" applyBorder="1" applyAlignment="1">
      <alignment horizontal="center"/>
    </xf>
    <xf numFmtId="0" fontId="76" fillId="0" borderId="39" xfId="0" applyFont="1" applyBorder="1" applyAlignment="1">
      <alignment wrapText="1"/>
    </xf>
    <xf numFmtId="0" fontId="72" fillId="58" borderId="39" xfId="0" applyFont="1" applyFill="1" applyBorder="1" applyAlignment="1">
      <alignment horizontal="center"/>
    </xf>
    <xf numFmtId="0" fontId="72" fillId="60" borderId="39" xfId="0" applyFont="1" applyFill="1" applyBorder="1" applyAlignment="1">
      <alignment horizontal="center"/>
    </xf>
    <xf numFmtId="0" fontId="72" fillId="59" borderId="39" xfId="0" applyFont="1" applyFill="1" applyBorder="1" applyAlignment="1">
      <alignment horizontal="center"/>
    </xf>
    <xf numFmtId="0" fontId="72" fillId="61" borderId="39" xfId="0" applyFont="1" applyFill="1" applyBorder="1" applyAlignment="1">
      <alignment horizontal="center"/>
    </xf>
    <xf numFmtId="0" fontId="122" fillId="62" borderId="0" xfId="0" applyFont="1" applyFill="1" applyAlignment="1">
      <alignment horizontal="left"/>
    </xf>
    <xf numFmtId="0" fontId="122" fillId="62" borderId="0" xfId="0" applyFont="1" applyFill="1" applyAlignment="1">
      <alignment horizontal="center"/>
    </xf>
    <xf numFmtId="0" fontId="123" fillId="0" borderId="0" xfId="0" applyFont="1"/>
    <xf numFmtId="3" fontId="124" fillId="0" borderId="0" xfId="0" applyNumberFormat="1" applyFont="1" applyAlignment="1">
      <alignment horizontal="center"/>
    </xf>
    <xf numFmtId="0" fontId="125" fillId="0" borderId="0" xfId="0" applyFont="1"/>
    <xf numFmtId="3" fontId="125" fillId="63" borderId="0" xfId="0" applyNumberFormat="1" applyFont="1" applyFill="1" applyAlignment="1">
      <alignment horizontal="center"/>
    </xf>
    <xf numFmtId="3" fontId="123" fillId="0" borderId="0" xfId="0" applyNumberFormat="1" applyFont="1" applyAlignment="1">
      <alignment horizontal="center"/>
    </xf>
    <xf numFmtId="0" fontId="126" fillId="0" borderId="0" xfId="0" applyFont="1"/>
    <xf numFmtId="0" fontId="127" fillId="66" borderId="0" xfId="0" applyFont="1" applyFill="1" applyAlignment="1">
      <alignment horizontal="center" vertical="center"/>
    </xf>
    <xf numFmtId="175" fontId="130" fillId="67" borderId="0" xfId="0" applyNumberFormat="1" applyFont="1" applyFill="1" applyAlignment="1">
      <alignment horizontal="center"/>
    </xf>
    <xf numFmtId="175" fontId="130" fillId="65" borderId="0" xfId="0" applyNumberFormat="1" applyFont="1" applyFill="1" applyAlignment="1">
      <alignment horizontal="center"/>
    </xf>
    <xf numFmtId="167" fontId="130" fillId="67" borderId="0" xfId="0" applyNumberFormat="1" applyFont="1" applyFill="1" applyAlignment="1">
      <alignment horizontal="center"/>
    </xf>
    <xf numFmtId="167" fontId="130" fillId="65" borderId="0" xfId="0" applyNumberFormat="1" applyFont="1" applyFill="1" applyAlignment="1">
      <alignment horizontal="center"/>
    </xf>
    <xf numFmtId="3" fontId="125" fillId="67" borderId="0" xfId="0" applyNumberFormat="1" applyFont="1" applyFill="1" applyAlignment="1">
      <alignment horizontal="center"/>
    </xf>
    <xf numFmtId="167" fontId="130" fillId="64" borderId="0" xfId="0" applyNumberFormat="1" applyFont="1" applyFill="1" applyAlignment="1">
      <alignment horizontal="center"/>
    </xf>
    <xf numFmtId="167" fontId="130" fillId="66" borderId="0" xfId="0" applyNumberFormat="1" applyFont="1" applyFill="1" applyAlignment="1">
      <alignment horizontal="center"/>
    </xf>
    <xf numFmtId="0" fontId="130" fillId="0" borderId="0" xfId="0" applyFont="1" applyAlignment="1">
      <alignment horizontal="center"/>
    </xf>
    <xf numFmtId="0" fontId="122" fillId="68" borderId="0" xfId="0" applyFont="1" applyFill="1" applyAlignment="1">
      <alignment horizontal="left"/>
    </xf>
    <xf numFmtId="0" fontId="122" fillId="68" borderId="0" xfId="0" applyFont="1" applyFill="1" applyAlignment="1">
      <alignment horizontal="center"/>
    </xf>
    <xf numFmtId="3" fontId="130" fillId="0" borderId="0" xfId="0" applyNumberFormat="1" applyFont="1" applyAlignment="1">
      <alignment horizontal="center"/>
    </xf>
    <xf numFmtId="0" fontId="133" fillId="0" borderId="0" xfId="0" applyFont="1"/>
    <xf numFmtId="3" fontId="134" fillId="0" borderId="0" xfId="0" applyNumberFormat="1" applyFont="1" applyAlignment="1">
      <alignment horizontal="center"/>
    </xf>
    <xf numFmtId="0" fontId="135" fillId="0" borderId="0" xfId="0" applyFont="1"/>
    <xf numFmtId="0" fontId="134" fillId="65" borderId="0" xfId="0" applyFont="1" applyFill="1" applyAlignment="1">
      <alignment horizontal="center"/>
    </xf>
    <xf numFmtId="0" fontId="127" fillId="69" borderId="0" xfId="0" applyFont="1" applyFill="1" applyAlignment="1">
      <alignment horizontal="center" vertical="center"/>
    </xf>
    <xf numFmtId="0" fontId="134" fillId="70" borderId="0" xfId="0" applyFont="1" applyFill="1" applyAlignment="1">
      <alignment horizontal="center"/>
    </xf>
    <xf numFmtId="0" fontId="134" fillId="71" borderId="0" xfId="0" applyFont="1" applyFill="1" applyAlignment="1">
      <alignment horizontal="center"/>
    </xf>
    <xf numFmtId="0" fontId="127" fillId="72" borderId="0" xfId="0" applyFont="1" applyFill="1" applyAlignment="1">
      <alignment horizontal="center" vertical="center"/>
    </xf>
    <xf numFmtId="167" fontId="19" fillId="0" borderId="8" xfId="0" applyNumberFormat="1" applyFont="1" applyBorder="1"/>
    <xf numFmtId="0" fontId="137" fillId="34" borderId="0" xfId="0" applyFont="1" applyFill="1"/>
    <xf numFmtId="44" fontId="138" fillId="34" borderId="0" xfId="1" applyFont="1" applyFill="1"/>
    <xf numFmtId="166" fontId="137" fillId="34" borderId="0" xfId="0" applyNumberFormat="1" applyFont="1" applyFill="1"/>
    <xf numFmtId="167" fontId="139" fillId="34" borderId="8" xfId="0" applyNumberFormat="1" applyFont="1" applyFill="1" applyBorder="1"/>
    <xf numFmtId="0" fontId="0" fillId="0" borderId="0" xfId="0" applyAlignment="1">
      <alignment horizontal="left" vertical="top" wrapText="1"/>
    </xf>
    <xf numFmtId="0" fontId="18" fillId="3" borderId="0" xfId="0" applyFont="1" applyFill="1"/>
    <xf numFmtId="0" fontId="2" fillId="0" borderId="0" xfId="0" applyFont="1" applyAlignment="1">
      <alignment horizontal="center" vertical="center"/>
    </xf>
    <xf numFmtId="0" fontId="3" fillId="0" borderId="0" xfId="0" applyFont="1" applyAlignment="1">
      <alignment horizontal="center" vertical="center"/>
    </xf>
    <xf numFmtId="0" fontId="4" fillId="3" borderId="0" xfId="0" applyFont="1" applyFill="1"/>
    <xf numFmtId="0" fontId="5" fillId="3" borderId="0" xfId="0" applyFont="1" applyFill="1"/>
    <xf numFmtId="0" fontId="23" fillId="0" borderId="0" xfId="0" applyFont="1"/>
    <xf numFmtId="0" fontId="25" fillId="4" borderId="1" xfId="0" applyFont="1" applyFill="1" applyBorder="1"/>
    <xf numFmtId="0" fontId="82" fillId="35" borderId="1" xfId="0" applyFont="1" applyFill="1" applyBorder="1"/>
    <xf numFmtId="0" fontId="28" fillId="0" borderId="1" xfId="0" applyFont="1" applyBorder="1"/>
    <xf numFmtId="0" fontId="4" fillId="3" borderId="1" xfId="0" applyFont="1" applyFill="1" applyBorder="1"/>
    <xf numFmtId="0" fontId="5" fillId="2" borderId="1" xfId="0" applyFont="1" applyFill="1" applyBorder="1"/>
    <xf numFmtId="0" fontId="74" fillId="33" borderId="19" xfId="0" applyFont="1" applyFill="1" applyBorder="1"/>
    <xf numFmtId="0" fontId="71" fillId="32" borderId="0" xfId="0" applyFont="1" applyFill="1"/>
    <xf numFmtId="0" fontId="70" fillId="0" borderId="0" xfId="0" applyFont="1"/>
    <xf numFmtId="0" fontId="78" fillId="0" borderId="0" xfId="0" applyFont="1"/>
    <xf numFmtId="0" fontId="108" fillId="0" borderId="0" xfId="0" applyFont="1" applyAlignment="1">
      <alignment horizontal="left" vertical="center"/>
    </xf>
    <xf numFmtId="0" fontId="109" fillId="0" borderId="0" xfId="0" applyFont="1"/>
    <xf numFmtId="0" fontId="76" fillId="0" borderId="0" xfId="0" applyFont="1"/>
    <xf numFmtId="0" fontId="114" fillId="0" borderId="0" xfId="0" applyFont="1"/>
    <xf numFmtId="0" fontId="115" fillId="0" borderId="0" xfId="0" applyFont="1" applyAlignment="1">
      <alignment wrapText="1"/>
    </xf>
    <xf numFmtId="0" fontId="38" fillId="0" borderId="0" xfId="0" applyFont="1"/>
    <xf numFmtId="0" fontId="40" fillId="2" borderId="5" xfId="0" applyFont="1" applyFill="1" applyBorder="1" applyAlignment="1">
      <alignment horizontal="center"/>
    </xf>
    <xf numFmtId="0" fontId="40" fillId="2" borderId="0" xfId="0" applyFont="1" applyFill="1" applyAlignment="1">
      <alignment horizontal="center"/>
    </xf>
    <xf numFmtId="0" fontId="5" fillId="3" borderId="5" xfId="0" applyFont="1" applyFill="1" applyBorder="1" applyAlignment="1">
      <alignment horizontal="center"/>
    </xf>
    <xf numFmtId="0" fontId="38" fillId="0" borderId="1" xfId="0" applyFont="1" applyBorder="1"/>
    <xf numFmtId="0" fontId="93" fillId="0" borderId="1" xfId="0" applyFont="1" applyBorder="1"/>
    <xf numFmtId="0" fontId="38" fillId="0" borderId="30" xfId="0" applyFont="1" applyBorder="1"/>
    <xf numFmtId="0" fontId="38" fillId="0" borderId="31" xfId="0" applyFont="1" applyBorder="1"/>
    <xf numFmtId="0" fontId="38" fillId="0" borderId="32" xfId="0" applyFont="1" applyBorder="1"/>
    <xf numFmtId="0" fontId="79" fillId="0" borderId="22" xfId="0" applyFont="1" applyBorder="1" applyAlignment="1">
      <alignment horizontal="center"/>
    </xf>
    <xf numFmtId="0" fontId="79" fillId="0" borderId="23" xfId="0" applyFont="1" applyBorder="1" applyAlignment="1">
      <alignment horizontal="center"/>
    </xf>
    <xf numFmtId="0" fontId="79" fillId="0" borderId="24" xfId="0" applyFont="1" applyBorder="1" applyAlignment="1">
      <alignment horizontal="center"/>
    </xf>
    <xf numFmtId="0" fontId="5" fillId="3" borderId="33" xfId="0" applyFont="1" applyFill="1" applyBorder="1"/>
    <xf numFmtId="0" fontId="5" fillId="3" borderId="34" xfId="0" applyFont="1" applyFill="1" applyBorder="1"/>
    <xf numFmtId="0" fontId="5" fillId="3" borderId="35" xfId="0" applyFont="1" applyFill="1" applyBorder="1"/>
    <xf numFmtId="0" fontId="5" fillId="3" borderId="25" xfId="0" applyFont="1" applyFill="1" applyBorder="1"/>
    <xf numFmtId="0" fontId="5" fillId="3" borderId="26" xfId="0" applyFont="1" applyFill="1" applyBorder="1"/>
    <xf numFmtId="0" fontId="5" fillId="3" borderId="27" xfId="0" applyFont="1" applyFill="1" applyBorder="1"/>
    <xf numFmtId="0" fontId="87" fillId="37" borderId="25" xfId="0" applyFont="1" applyFill="1" applyBorder="1"/>
    <xf numFmtId="0" fontId="87" fillId="37" borderId="26" xfId="0" applyFont="1" applyFill="1" applyBorder="1"/>
    <xf numFmtId="0" fontId="87" fillId="37" borderId="27" xfId="0" applyFont="1" applyFill="1" applyBorder="1"/>
    <xf numFmtId="0" fontId="0" fillId="0" borderId="12" xfId="0" applyBorder="1" applyAlignment="1">
      <alignment wrapText="1"/>
    </xf>
    <xf numFmtId="0" fontId="0" fillId="0" borderId="0" xfId="0" applyAlignment="1">
      <alignment wrapText="1"/>
    </xf>
    <xf numFmtId="0" fontId="0" fillId="0" borderId="13" xfId="0" applyBorder="1" applyAlignment="1">
      <alignment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6" xfId="0" applyBorder="1" applyAlignment="1">
      <alignment horizontal="left" vertical="top" wrapText="1"/>
    </xf>
    <xf numFmtId="0" fontId="48" fillId="0" borderId="12" xfId="0" applyFont="1" applyBorder="1" applyAlignment="1">
      <alignment horizontal="left" vertical="top" wrapText="1"/>
    </xf>
    <xf numFmtId="0" fontId="48" fillId="0" borderId="0" xfId="0" applyFont="1" applyAlignment="1">
      <alignment horizontal="left" vertical="top" wrapText="1"/>
    </xf>
    <xf numFmtId="0" fontId="48" fillId="0" borderId="13" xfId="0" applyFont="1" applyBorder="1" applyAlignment="1">
      <alignment horizontal="left" vertical="top" wrapText="1"/>
    </xf>
    <xf numFmtId="0" fontId="5" fillId="38" borderId="25" xfId="0" applyFont="1" applyFill="1" applyBorder="1"/>
    <xf numFmtId="0" fontId="5" fillId="38" borderId="26" xfId="0" applyFont="1" applyFill="1" applyBorder="1"/>
    <xf numFmtId="0" fontId="5" fillId="38" borderId="27" xfId="0" applyFont="1" applyFill="1" applyBorder="1"/>
    <xf numFmtId="0" fontId="5" fillId="3" borderId="1" xfId="0" applyFont="1" applyFill="1" applyBorder="1"/>
    <xf numFmtId="0" fontId="48" fillId="18" borderId="0" xfId="0" applyFont="1" applyFill="1" applyAlignment="1">
      <alignment horizontal="center"/>
    </xf>
    <xf numFmtId="0" fontId="52" fillId="17" borderId="1" xfId="0" applyFont="1" applyFill="1" applyBorder="1"/>
    <xf numFmtId="0" fontId="52" fillId="7" borderId="1" xfId="0" applyFont="1" applyFill="1" applyBorder="1"/>
    <xf numFmtId="0" fontId="0" fillId="0" borderId="0" xfId="0"/>
    <xf numFmtId="0" fontId="52" fillId="20" borderId="17" xfId="0" applyFont="1" applyFill="1" applyBorder="1"/>
    <xf numFmtId="0" fontId="5" fillId="2" borderId="17" xfId="0" applyFont="1" applyFill="1" applyBorder="1"/>
    <xf numFmtId="0" fontId="52" fillId="21" borderId="17" xfId="0" applyFont="1" applyFill="1" applyBorder="1"/>
    <xf numFmtId="0" fontId="52" fillId="3" borderId="17" xfId="0" applyFont="1" applyFill="1" applyBorder="1"/>
    <xf numFmtId="0" fontId="129" fillId="0" borderId="0" xfId="0" applyFont="1"/>
    <xf numFmtId="0" fontId="118" fillId="0" borderId="0" xfId="0" applyFont="1"/>
    <xf numFmtId="0" fontId="119" fillId="0" borderId="0" xfId="0" applyFont="1"/>
    <xf numFmtId="0" fontId="120" fillId="0" borderId="0" xfId="0" applyFont="1"/>
    <xf numFmtId="0" fontId="121" fillId="0" borderId="0" xfId="0" applyFont="1"/>
    <xf numFmtId="0" fontId="128" fillId="0" borderId="0" xfId="0" applyFont="1"/>
    <xf numFmtId="0" fontId="131" fillId="0" borderId="0" xfId="0" applyFont="1"/>
    <xf numFmtId="0" fontId="132" fillId="0" borderId="0" xfId="0" applyFont="1"/>
    <xf numFmtId="0" fontId="136" fillId="0" borderId="0" xfId="0" applyFont="1"/>
    <xf numFmtId="0" fontId="59" fillId="0" borderId="0" xfId="0" applyFont="1"/>
    <xf numFmtId="0" fontId="94" fillId="0" borderId="0" xfId="0" applyFont="1" applyAlignment="1">
      <alignment horizontal="left" vertical="top" wrapText="1"/>
    </xf>
    <xf numFmtId="0" fontId="52" fillId="21" borderId="1" xfId="0" applyFont="1" applyFill="1" applyBorder="1"/>
    <xf numFmtId="0" fontId="52" fillId="3" borderId="1" xfId="0" applyFont="1" applyFill="1" applyBorder="1"/>
    <xf numFmtId="0" fontId="52" fillId="24" borderId="1" xfId="0" applyFont="1" applyFill="1" applyBorder="1"/>
    <xf numFmtId="0" fontId="52" fillId="2" borderId="1" xfId="0" applyFont="1" applyFill="1" applyBorder="1"/>
    <xf numFmtId="0" fontId="65" fillId="0" borderId="0" xfId="0" applyFont="1"/>
    <xf numFmtId="0" fontId="52" fillId="25" borderId="1" xfId="0" applyFont="1" applyFill="1" applyBorder="1"/>
    <xf numFmtId="0" fontId="40" fillId="11" borderId="0" xfId="0" applyFont="1" applyFill="1"/>
    <xf numFmtId="0" fontId="108" fillId="0" borderId="0" xfId="0" applyFont="1"/>
    <xf numFmtId="0" fontId="113" fillId="0" borderId="0" xfId="0" applyFont="1"/>
    <xf numFmtId="0" fontId="117" fillId="0" borderId="0" xfId="0" applyFont="1" applyAlignment="1">
      <alignment wrapText="1"/>
    </xf>
    <xf numFmtId="0" fontId="72" fillId="0" borderId="19" xfId="0" applyFont="1" applyBorder="1" applyAlignment="1">
      <alignment horizontal="center"/>
    </xf>
    <xf numFmtId="0" fontId="140" fillId="0" borderId="1" xfId="0" applyFont="1" applyBorder="1"/>
  </cellXfs>
  <cellStyles count="3">
    <cellStyle name="Monétaire" xfId="1" builtinId="4"/>
    <cellStyle name="Normal" xfId="0" builtinId="0"/>
    <cellStyle name="Pourcentage"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F3F3F3"/>
      <rgbColor rgb="FF800000"/>
      <rgbColor rgb="FF008000"/>
      <rgbColor rgb="FF000080"/>
      <rgbColor rgb="FF808000"/>
      <rgbColor rgb="FF800080"/>
      <rgbColor rgb="FF2980B9"/>
      <rgbColor rgb="FFBFBFBF"/>
      <rgbColor rgb="FF7F8C8D"/>
      <rgbColor rgb="FFD5DBDB"/>
      <rgbColor rgb="FF8E44AD"/>
      <rgbColor rgb="FFFFF2CC"/>
      <rgbColor rgb="FFDBEEF3"/>
      <rgbColor rgb="FF660066"/>
      <rgbColor rgb="FFD9E2F3"/>
      <rgbColor rgb="FF3498DB"/>
      <rgbColor rgb="FFD6DCE4"/>
      <rgbColor rgb="FF000080"/>
      <rgbColor rgb="FFFF00FF"/>
      <rgbColor rgb="FFE8E8E8"/>
      <rgbColor rgb="FF00FFFF"/>
      <rgbColor rgb="FF800080"/>
      <rgbColor rgb="FF800000"/>
      <rgbColor rgb="FF00B050"/>
      <rgbColor rgb="FF0000FF"/>
      <rgbColor rgb="FFD6E4F0"/>
      <rgbColor rgb="FFECF0F1"/>
      <rgbColor rgb="FFD9EAD3"/>
      <rgbColor rgb="FFFFEB9C"/>
      <rgbColor rgb="FFBDC3C7"/>
      <rgbColor rgb="FFD9D9D9"/>
      <rgbColor rgb="FFCCCCCC"/>
      <rgbColor rgb="FFFFC7CE"/>
      <rgbColor rgb="FF4472C4"/>
      <rgbColor rgb="FF1ABC9C"/>
      <rgbColor rgb="FF92D050"/>
      <rgbColor rgb="FFFFC000"/>
      <rgbColor rgb="FFF39C12"/>
      <rgbColor rgb="FFE74C3C"/>
      <rgbColor rgb="FF666666"/>
      <rgbColor rgb="FF999999"/>
      <rgbColor rgb="FF003366"/>
      <rgbColor rgb="FF27AE60"/>
      <rgbColor rgb="FF003300"/>
      <rgbColor rgb="FF333300"/>
      <rgbColor rgb="FF993300"/>
      <rgbColor rgb="FF9B59B6"/>
      <rgbColor rgb="FF1F4E79"/>
      <rgbColor rgb="FF2C3E50"/>
      <rgbColor rgb="00003366"/>
      <rgbColor rgb="00339966"/>
      <rgbColor rgb="00003300"/>
      <rgbColor rgb="00333300"/>
      <rgbColor rgb="00993300"/>
      <rgbColor rgb="00993366"/>
      <rgbColor rgb="00333399"/>
      <rgbColor rgb="00333333"/>
    </indexedColors>
    <mruColors>
      <color rgb="FFFCC8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bint\Downloads\PLUME_business_plan_BPI_V30.xlsx" TargetMode="External"/><Relationship Id="rId1" Type="http://schemas.openxmlformats.org/officeDocument/2006/relationships/externalLinkPath" Target="file:///C:\Users\jbint\Downloads\PLUME_business_plan_BPI_V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Frais de lancement"/>
      <sheetName val="Charges Fixes Plume"/>
      <sheetName val="Emprunt Bancaire"/>
      <sheetName val="Emprunt Mensualité"/>
      <sheetName val="DSCR &amp; ratio bancaires"/>
      <sheetName val="AFFECTATION EMPRUNT "/>
      <sheetName val="Charges Variables"/>
      <sheetName val="Marges Produits"/>
      <sheetName val="Financement"/>
      <sheetName val="Scénarios"/>
      <sheetName val="Plan Trésorerie Mensuel"/>
      <sheetName val="Compte de Résultat"/>
      <sheetName val="Bilan Prévisionnel"/>
      <sheetName val="Seuil Rentabilité"/>
      <sheetName val="-30% Plan Trésorerie Mensuel "/>
      <sheetName val="point mort mensuel"/>
      <sheetName val="Analyse Point Mort"/>
      <sheetName val="Conditions &amp; risques "/>
    </sheetNames>
    <sheetDataSet>
      <sheetData sheetId="0"/>
      <sheetData sheetId="1"/>
      <sheetData sheetId="2"/>
      <sheetData sheetId="3"/>
      <sheetData sheetId="4">
        <row r="13">
          <cell r="E13">
            <v>29189.84</v>
          </cell>
          <cell r="F13">
            <v>5289.04</v>
          </cell>
        </row>
        <row r="27">
          <cell r="E27">
            <v>45456.800000000003</v>
          </cell>
          <cell r="F27">
            <v>6261.51</v>
          </cell>
        </row>
        <row r="41">
          <cell r="E41">
            <v>47545.06</v>
          </cell>
          <cell r="F41">
            <v>4173.24</v>
          </cell>
        </row>
        <row r="55">
          <cell r="E55">
            <v>49729.279999999999</v>
          </cell>
          <cell r="F55">
            <v>1989.04</v>
          </cell>
        </row>
        <row r="61">
          <cell r="E61">
            <v>17079.02</v>
          </cell>
          <cell r="F61">
            <v>160.41</v>
          </cell>
        </row>
      </sheetData>
      <sheetData sheetId="5"/>
      <sheetData sheetId="6"/>
      <sheetData sheetId="7"/>
      <sheetData sheetId="8"/>
      <sheetData sheetId="9"/>
      <sheetData sheetId="10"/>
      <sheetData sheetId="11"/>
      <sheetData sheetId="12">
        <row r="13">
          <cell r="B13">
            <v>0</v>
          </cell>
          <cell r="C13">
            <v>192906.25</v>
          </cell>
          <cell r="D13">
            <v>643020.83333333302</v>
          </cell>
          <cell r="E13">
            <v>1414645.83333333</v>
          </cell>
          <cell r="F13">
            <v>2057666.66666667</v>
          </cell>
          <cell r="G13">
            <v>2572083.3333333302</v>
          </cell>
          <cell r="H13">
            <v>2572083.3333333302</v>
          </cell>
        </row>
        <row r="16">
          <cell r="B16">
            <v>0</v>
          </cell>
          <cell r="C16">
            <v>82526.8125</v>
          </cell>
          <cell r="D16">
            <v>275089.375</v>
          </cell>
          <cell r="E16">
            <v>605196.625</v>
          </cell>
          <cell r="F16">
            <v>880286</v>
          </cell>
          <cell r="G16">
            <v>1100357.5</v>
          </cell>
          <cell r="H16">
            <v>1155375.375</v>
          </cell>
        </row>
        <row r="21">
          <cell r="B21">
            <v>8857.8558333333294</v>
          </cell>
          <cell r="C21">
            <v>214524.96400000001</v>
          </cell>
          <cell r="D21">
            <v>215724.24400000001</v>
          </cell>
          <cell r="E21">
            <v>213635.97399999999</v>
          </cell>
          <cell r="F21">
            <v>211451.75399999999</v>
          </cell>
          <cell r="G21">
            <v>209169.554</v>
          </cell>
          <cell r="H21">
            <v>208782.334</v>
          </cell>
        </row>
        <row r="25">
          <cell r="B25">
            <v>0</v>
          </cell>
          <cell r="C25">
            <v>1543.25</v>
          </cell>
          <cell r="D25">
            <v>5144.1666666666697</v>
          </cell>
          <cell r="E25">
            <v>11317.166666666701</v>
          </cell>
          <cell r="F25">
            <v>16461.333333333299</v>
          </cell>
          <cell r="G25">
            <v>20576.666666666701</v>
          </cell>
          <cell r="H25">
            <v>20576.666666666701</v>
          </cell>
        </row>
        <row r="30">
          <cell r="B30">
            <v>0</v>
          </cell>
          <cell r="C30">
            <v>0</v>
          </cell>
          <cell r="D30">
            <v>0</v>
          </cell>
          <cell r="E30">
            <v>0</v>
          </cell>
          <cell r="F30">
            <v>0</v>
          </cell>
          <cell r="G30">
            <v>6.25E-2</v>
          </cell>
          <cell r="H30">
            <v>0.125</v>
          </cell>
        </row>
        <row r="34">
          <cell r="B34">
            <v>-8857.8558333333294</v>
          </cell>
          <cell r="C34">
            <v>-133541.40150000001</v>
          </cell>
          <cell r="D34">
            <v>54220.964333333301</v>
          </cell>
          <cell r="E34">
            <v>380243.48433333298</v>
          </cell>
          <cell r="F34">
            <v>652372.91266666702</v>
          </cell>
          <cell r="G34">
            <v>816198.07437499997</v>
          </cell>
          <cell r="H34">
            <v>810264.32754166704</v>
          </cell>
        </row>
        <row r="45">
          <cell r="B45">
            <v>91142.144166666694</v>
          </cell>
          <cell r="C45">
            <v>177292.43531666699</v>
          </cell>
          <cell r="D45">
            <v>195238.27493333301</v>
          </cell>
          <cell r="E45">
            <v>497335.68542499997</v>
          </cell>
          <cell r="F45">
            <v>1038336.26258333</v>
          </cell>
          <cell r="G45">
            <v>1904662.952825</v>
          </cell>
          <cell r="H45">
            <v>2974177.5791500001</v>
          </cell>
        </row>
      </sheetData>
      <sheetData sheetId="13">
        <row r="24">
          <cell r="B24">
            <v>91142.144166666694</v>
          </cell>
          <cell r="C24">
            <v>46600.742666666702</v>
          </cell>
          <cell r="D24">
            <v>150821.70699999999</v>
          </cell>
          <cell r="E24">
            <v>531065.19133333303</v>
          </cell>
          <cell r="F24">
            <v>1183438.1040000001</v>
          </cell>
          <cell r="G24">
            <v>1999636.1783749999</v>
          </cell>
          <cell r="H24">
            <v>2809900.50591667</v>
          </cell>
        </row>
        <row r="28">
          <cell r="B28">
            <v>17399</v>
          </cell>
          <cell r="C28">
            <v>181010.59375</v>
          </cell>
          <cell r="D28">
            <v>145451.6825</v>
          </cell>
          <cell r="E28">
            <v>116438.9875</v>
          </cell>
          <cell r="F28">
            <v>80288.02</v>
          </cell>
          <cell r="G28">
            <v>73769.25</v>
          </cell>
          <cell r="H28">
            <v>74072.25</v>
          </cell>
        </row>
        <row r="30">
          <cell r="B30">
            <v>108541.144166667</v>
          </cell>
          <cell r="C30">
            <v>227611.33641666701</v>
          </cell>
          <cell r="D30">
            <v>296273.38949999999</v>
          </cell>
          <cell r="E30">
            <v>647504.17883333296</v>
          </cell>
          <cell r="F30">
            <v>1263726.1240000001</v>
          </cell>
          <cell r="G30">
            <v>2073405.4283749999</v>
          </cell>
          <cell r="H30">
            <v>2883972.75591667</v>
          </cell>
        </row>
      </sheetData>
      <sheetData sheetId="14"/>
      <sheetData sheetId="15"/>
      <sheetData sheetId="16"/>
      <sheetData sheetId="17"/>
      <sheetData sheetId="18"/>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9"/>
  <sheetViews>
    <sheetView zoomScaleNormal="100" workbookViewId="0">
      <selection activeCell="F10" sqref="F10"/>
    </sheetView>
  </sheetViews>
  <sheetFormatPr baseColWidth="10" defaultColWidth="8.6328125" defaultRowHeight="14.5" x14ac:dyDescent="0.35"/>
  <cols>
    <col min="1" max="1" width="3" customWidth="1"/>
    <col min="2" max="2" width="18.90625" customWidth="1"/>
    <col min="3" max="3" width="12" customWidth="1"/>
    <col min="4" max="4" width="18.90625" customWidth="1"/>
    <col min="5" max="5" width="12" customWidth="1"/>
    <col min="6" max="6" width="16.1796875" customWidth="1"/>
    <col min="7" max="9" width="12" customWidth="1"/>
    <col min="10" max="10" width="3" customWidth="1"/>
    <col min="11" max="11" width="26.08984375" bestFit="1" customWidth="1"/>
    <col min="12" max="12" width="14" customWidth="1"/>
    <col min="13" max="13" width="12" customWidth="1"/>
  </cols>
  <sheetData>
    <row r="2" spans="2:13" ht="33.75" customHeight="1" x14ac:dyDescent="0.35">
      <c r="B2" s="395" t="s">
        <v>0</v>
      </c>
      <c r="C2" s="395"/>
      <c r="D2" s="395"/>
      <c r="E2" s="395"/>
      <c r="F2" s="395"/>
      <c r="G2" s="395"/>
      <c r="H2" s="395"/>
      <c r="I2" s="395"/>
      <c r="J2" s="395"/>
      <c r="K2" s="395"/>
      <c r="L2" s="395"/>
      <c r="M2" s="395"/>
    </row>
    <row r="3" spans="2:13" ht="17.25" customHeight="1" x14ac:dyDescent="0.35">
      <c r="B3" s="396" t="s">
        <v>1</v>
      </c>
      <c r="C3" s="396"/>
      <c r="D3" s="396"/>
      <c r="E3" s="396"/>
      <c r="F3" s="396"/>
      <c r="G3" s="396"/>
      <c r="H3" s="396"/>
      <c r="I3" s="396"/>
      <c r="J3" s="396"/>
      <c r="K3" s="396"/>
      <c r="L3" s="396"/>
      <c r="M3" s="396"/>
    </row>
    <row r="4" spans="2:13" ht="6" customHeight="1" x14ac:dyDescent="0.35">
      <c r="B4" s="5"/>
      <c r="C4" s="5"/>
      <c r="D4" s="5"/>
      <c r="E4" s="5"/>
      <c r="F4" s="5"/>
      <c r="G4" s="5"/>
      <c r="H4" s="5"/>
      <c r="I4" s="5"/>
      <c r="J4" s="5"/>
      <c r="K4" s="5"/>
      <c r="L4" s="5"/>
      <c r="M4" s="5"/>
    </row>
    <row r="6" spans="2:13" ht="17.25" customHeight="1" x14ac:dyDescent="0.35">
      <c r="B6" s="397" t="s">
        <v>2</v>
      </c>
      <c r="C6" s="397"/>
      <c r="D6" s="397"/>
      <c r="E6" s="397"/>
      <c r="F6" s="397"/>
      <c r="G6" s="397"/>
      <c r="H6" s="397"/>
      <c r="I6" s="397"/>
      <c r="K6" s="398" t="s">
        <v>3</v>
      </c>
      <c r="L6" s="398"/>
      <c r="M6" s="398"/>
    </row>
    <row r="7" spans="2:13" ht="15" customHeight="1" x14ac:dyDescent="0.35">
      <c r="B7" t="s">
        <v>4</v>
      </c>
      <c r="C7" t="s">
        <v>5</v>
      </c>
      <c r="K7" s="6" t="s">
        <v>6</v>
      </c>
      <c r="L7" s="7">
        <f>Financement!B5</f>
        <v>104000</v>
      </c>
      <c r="M7" s="8" t="s">
        <v>7</v>
      </c>
    </row>
    <row r="8" spans="2:13" ht="15" customHeight="1" x14ac:dyDescent="0.35">
      <c r="B8" s="9" t="s">
        <v>8</v>
      </c>
      <c r="C8" s="10"/>
      <c r="D8" s="9" t="s">
        <v>9</v>
      </c>
      <c r="F8" s="9" t="s">
        <v>10</v>
      </c>
      <c r="G8" s="11"/>
      <c r="H8" s="9" t="s">
        <v>11</v>
      </c>
      <c r="I8" s="10"/>
      <c r="K8" s="6" t="s">
        <v>12</v>
      </c>
      <c r="L8" s="7">
        <f>Financement!B6</f>
        <v>85000</v>
      </c>
      <c r="M8" s="8" t="s">
        <v>13</v>
      </c>
    </row>
    <row r="9" spans="2:13" ht="24" customHeight="1" x14ac:dyDescent="0.5">
      <c r="B9" s="12">
        <f>Financement!C7</f>
        <v>100000</v>
      </c>
      <c r="D9" s="10">
        <f>L12</f>
        <v>428000</v>
      </c>
      <c r="F9" s="13">
        <f>MAX('Seuil Rentabilité'!B21:D21)</f>
        <v>204</v>
      </c>
      <c r="H9" s="14" t="str">
        <f>ROUND('Seuil Rentabilité'!B8,0)&amp;" €"</f>
        <v>1080 €</v>
      </c>
      <c r="K9" s="6" t="s">
        <v>14</v>
      </c>
      <c r="L9" s="7">
        <f>'Emprunt Bancaire'!B4</f>
        <v>189000</v>
      </c>
      <c r="M9" s="8"/>
    </row>
    <row r="10" spans="2:13" ht="15" customHeight="1" x14ac:dyDescent="0.35">
      <c r="K10" s="6" t="s">
        <v>15</v>
      </c>
      <c r="L10" s="7">
        <f>Financement!B19</f>
        <v>50000</v>
      </c>
      <c r="M10" s="8"/>
    </row>
    <row r="11" spans="2:13" ht="15" customHeight="1" x14ac:dyDescent="0.35"/>
    <row r="12" spans="2:13" ht="15" customHeight="1" x14ac:dyDescent="0.35">
      <c r="B12" s="398" t="s">
        <v>16</v>
      </c>
      <c r="C12" s="398"/>
      <c r="D12" s="398"/>
      <c r="E12" s="398"/>
      <c r="F12" s="398"/>
      <c r="G12" s="398"/>
      <c r="H12" s="398"/>
      <c r="I12" s="398"/>
      <c r="K12" s="15" t="s">
        <v>17</v>
      </c>
      <c r="L12" s="16">
        <f>SUM(L7:L10)</f>
        <v>428000</v>
      </c>
      <c r="M12" s="17"/>
    </row>
    <row r="13" spans="2:13" ht="15" customHeight="1" x14ac:dyDescent="0.35">
      <c r="C13" s="18">
        <v>2025</v>
      </c>
      <c r="D13" s="18">
        <v>2026</v>
      </c>
      <c r="E13" s="18">
        <v>2027</v>
      </c>
      <c r="F13" s="18">
        <v>2028</v>
      </c>
      <c r="G13" s="18">
        <v>2029</v>
      </c>
      <c r="H13" s="18">
        <v>2030</v>
      </c>
      <c r="I13" s="18">
        <v>2031</v>
      </c>
    </row>
    <row r="14" spans="2:13" ht="15" customHeight="1" x14ac:dyDescent="0.35">
      <c r="B14" s="19" t="s">
        <v>18</v>
      </c>
      <c r="C14" s="20">
        <v>0</v>
      </c>
      <c r="D14" s="20">
        <v>75</v>
      </c>
      <c r="E14" s="20">
        <v>250</v>
      </c>
      <c r="F14" s="20">
        <v>550</v>
      </c>
      <c r="G14" s="20">
        <v>800</v>
      </c>
      <c r="H14" s="20">
        <v>1000</v>
      </c>
      <c r="I14" s="20">
        <v>1000</v>
      </c>
      <c r="K14" s="21" t="s">
        <v>19</v>
      </c>
      <c r="L14" s="21"/>
      <c r="M14" s="21"/>
    </row>
    <row r="15" spans="2:13" ht="15" customHeight="1" x14ac:dyDescent="0.35">
      <c r="B15" s="22" t="s">
        <v>20</v>
      </c>
      <c r="C15" s="23">
        <f>'Analyse Point Mort'!B19</f>
        <v>0</v>
      </c>
      <c r="D15" s="23">
        <f>'Analyse Point Mort'!C19</f>
        <v>0</v>
      </c>
      <c r="E15" s="23">
        <f>'Analyse Point Mort'!D19</f>
        <v>139</v>
      </c>
      <c r="F15" s="23">
        <f>'Analyse Point Mort'!E19</f>
        <v>242</v>
      </c>
      <c r="G15" s="23">
        <f>'Analyse Point Mort'!F19</f>
        <v>242</v>
      </c>
      <c r="H15" s="23">
        <f>'Analyse Point Mort'!G19</f>
        <v>187</v>
      </c>
      <c r="I15" s="23">
        <f>'Analyse Point Mort'!H19</f>
        <v>187</v>
      </c>
      <c r="K15" s="6" t="s">
        <v>21</v>
      </c>
      <c r="L15" s="7">
        <f>'Charges Fixes Plume'!D13</f>
        <v>83496</v>
      </c>
    </row>
    <row r="16" spans="2:13" ht="15" customHeight="1" x14ac:dyDescent="0.35">
      <c r="K16" s="6" t="s">
        <v>22</v>
      </c>
      <c r="L16" s="7">
        <f>'Charges Fixes Plume'!D38</f>
        <v>75128.733999999997</v>
      </c>
    </row>
    <row r="17" spans="2:13" ht="15" customHeight="1" x14ac:dyDescent="0.35">
      <c r="K17" s="6" t="s">
        <v>23</v>
      </c>
      <c r="L17" s="7">
        <f>'Charges Fixes Plume'!D29</f>
        <v>50157.599999999999</v>
      </c>
    </row>
    <row r="18" spans="2:13" ht="15" customHeight="1" x14ac:dyDescent="0.35">
      <c r="K18" s="6"/>
      <c r="L18" s="7"/>
    </row>
    <row r="19" spans="2:13" ht="15" customHeight="1" x14ac:dyDescent="0.35">
      <c r="K19" s="15" t="s">
        <v>17</v>
      </c>
      <c r="L19" s="24">
        <f>'Charges Fixes Plume'!D57</f>
        <v>208782.334</v>
      </c>
      <c r="M19" s="17"/>
    </row>
    <row r="20" spans="2:13" ht="15" customHeight="1" x14ac:dyDescent="0.35">
      <c r="B20" s="394" t="s">
        <v>24</v>
      </c>
      <c r="C20" s="394"/>
      <c r="D20" s="394"/>
      <c r="E20" s="394"/>
      <c r="F20" s="394"/>
      <c r="G20" s="394"/>
      <c r="H20" s="394"/>
      <c r="I20" s="394"/>
    </row>
    <row r="21" spans="2:13" ht="15" customHeight="1" x14ac:dyDescent="0.35">
      <c r="C21" s="18">
        <v>2025</v>
      </c>
      <c r="D21" s="18">
        <v>2026</v>
      </c>
      <c r="E21" s="18">
        <v>2027</v>
      </c>
      <c r="F21" s="18">
        <v>2028</v>
      </c>
      <c r="G21" s="18">
        <v>2029</v>
      </c>
      <c r="H21" s="18">
        <v>2030</v>
      </c>
      <c r="I21" s="18">
        <v>2031</v>
      </c>
      <c r="K21" s="4" t="s">
        <v>25</v>
      </c>
      <c r="L21" s="4"/>
      <c r="M21" s="4"/>
    </row>
    <row r="22" spans="2:13" ht="15" customHeight="1" x14ac:dyDescent="0.35">
      <c r="B22" s="6" t="s">
        <v>26</v>
      </c>
      <c r="C22" s="25">
        <f>'Compte de Résultat'!B13</f>
        <v>0</v>
      </c>
      <c r="D22" s="25">
        <f>'Compte de Résultat'!C13</f>
        <v>192906.25</v>
      </c>
      <c r="E22" s="25">
        <f>'Compte de Résultat'!D13</f>
        <v>643020.83333333349</v>
      </c>
      <c r="F22" s="25">
        <f>'Compte de Résultat'!E13</f>
        <v>1414645.8333333337</v>
      </c>
      <c r="G22" s="25">
        <f>'Compte de Résultat'!F13</f>
        <v>2057666.6666666665</v>
      </c>
      <c r="H22" s="25">
        <f>'Compte de Résultat'!G13</f>
        <v>2572083.3333333335</v>
      </c>
      <c r="I22" s="25">
        <f>'Compte de Résultat'!H13</f>
        <v>2700687.5000000005</v>
      </c>
      <c r="K22" s="6" t="s">
        <v>27</v>
      </c>
      <c r="L22" s="7">
        <f>'Emprunt Bancaire'!B4</f>
        <v>189000</v>
      </c>
    </row>
    <row r="23" spans="2:13" ht="15" customHeight="1" x14ac:dyDescent="0.35">
      <c r="B23" s="26" t="s">
        <v>28</v>
      </c>
      <c r="C23" s="25">
        <f>'Compte de Résultat'!B34</f>
        <v>-8857.8558333333331</v>
      </c>
      <c r="D23" s="25">
        <f>'Compte de Résultat'!C34</f>
        <v>-128458.89149999993</v>
      </c>
      <c r="E23" s="25">
        <f>'Compte de Résultat'!D34</f>
        <v>50265.066333333365</v>
      </c>
      <c r="F23" s="25">
        <f>'Compte de Résultat'!E34</f>
        <v>382760.58633333328</v>
      </c>
      <c r="G23" s="25">
        <f>'Compte de Résultat'!F34</f>
        <v>518386.01466666645</v>
      </c>
      <c r="H23" s="25">
        <f>'Compte de Résultat'!G34</f>
        <v>690585.35749999981</v>
      </c>
      <c r="I23" s="25">
        <f>'Compte de Résultat'!H34</f>
        <v>756513.56783333328</v>
      </c>
      <c r="K23" s="6" t="s">
        <v>29</v>
      </c>
      <c r="L23" s="27">
        <f>'Emprunt Bancaire'!B5</f>
        <v>4</v>
      </c>
    </row>
    <row r="24" spans="2:13" ht="15" customHeight="1" x14ac:dyDescent="0.35">
      <c r="B24" s="28" t="s">
        <v>30</v>
      </c>
      <c r="C24" s="25">
        <f>'Compte de Résultat'!B45</f>
        <v>91142.144166666665</v>
      </c>
      <c r="D24" s="25">
        <f>'Compte de Résultat'!C45</f>
        <v>177292.4353166667</v>
      </c>
      <c r="E24" s="25">
        <f>'Compte de Résultat'!D45</f>
        <v>195238.27493333336</v>
      </c>
      <c r="F24" s="25">
        <f>'Compte de Résultat'!E45</f>
        <v>497335.68542500015</v>
      </c>
      <c r="G24" s="25">
        <f>'Compte de Résultat'!F45</f>
        <v>1038336.2625833336</v>
      </c>
      <c r="H24" s="25">
        <f>'Compte de Résultat'!G45</f>
        <v>1904662.9528250005</v>
      </c>
      <c r="I24" s="25">
        <f>'Compte de Résultat'!H45</f>
        <v>2974177.5791500001</v>
      </c>
      <c r="K24" s="6" t="s">
        <v>31</v>
      </c>
      <c r="L24" s="29">
        <f>'Emprunt Bancaire'!B6</f>
        <v>4.4999999999999998E-2</v>
      </c>
    </row>
    <row r="25" spans="2:13" ht="15" customHeight="1" x14ac:dyDescent="0.35">
      <c r="K25" s="6" t="s">
        <v>32</v>
      </c>
      <c r="L25" s="7">
        <f>'Emprunt Bancaire'!D11</f>
        <v>52398.709999999985</v>
      </c>
    </row>
    <row r="27" spans="2:13" ht="15" customHeight="1" x14ac:dyDescent="0.35">
      <c r="K27" s="30" t="s">
        <v>33</v>
      </c>
      <c r="L27" s="30"/>
      <c r="M27" s="30"/>
    </row>
    <row r="28" spans="2:13" ht="15" customHeight="1" x14ac:dyDescent="0.35">
      <c r="K28" s="31" t="s">
        <v>34</v>
      </c>
      <c r="L28" s="31"/>
      <c r="M28" s="31"/>
    </row>
    <row r="29" spans="2:13" ht="15" customHeight="1" x14ac:dyDescent="0.35">
      <c r="B29" s="393" t="s">
        <v>476</v>
      </c>
      <c r="C29" s="393"/>
      <c r="D29" s="393"/>
      <c r="E29" s="393"/>
      <c r="F29" s="393"/>
      <c r="G29" s="393"/>
      <c r="H29" s="393"/>
      <c r="I29" s="393"/>
      <c r="K29" s="32" t="s">
        <v>473</v>
      </c>
      <c r="L29" s="31">
        <f>F9</f>
        <v>204</v>
      </c>
      <c r="M29" s="31"/>
    </row>
    <row r="30" spans="2:13" ht="15" customHeight="1" x14ac:dyDescent="0.35">
      <c r="B30" s="393"/>
      <c r="C30" s="393"/>
      <c r="D30" s="393"/>
      <c r="E30" s="393"/>
      <c r="F30" s="393"/>
      <c r="G30" s="393"/>
      <c r="H30" s="393"/>
      <c r="I30" s="393"/>
      <c r="K30" s="294" t="s">
        <v>472</v>
      </c>
      <c r="L30" s="295">
        <f>'Marges Produits'!G49</f>
        <v>0.42780787299530199</v>
      </c>
      <c r="M30" s="31"/>
    </row>
    <row r="31" spans="2:13" ht="15" customHeight="1" x14ac:dyDescent="0.35">
      <c r="B31" s="393"/>
      <c r="C31" s="393"/>
      <c r="D31" s="393"/>
      <c r="E31" s="393"/>
      <c r="F31" s="393"/>
      <c r="G31" s="393"/>
      <c r="H31" s="393"/>
      <c r="I31" s="393"/>
      <c r="K31" s="31" t="s">
        <v>35</v>
      </c>
      <c r="L31" s="31"/>
      <c r="M31" s="31"/>
    </row>
    <row r="32" spans="2:13" ht="15" customHeight="1" x14ac:dyDescent="0.35">
      <c r="B32" s="393"/>
      <c r="C32" s="393"/>
      <c r="D32" s="393"/>
      <c r="E32" s="393"/>
      <c r="F32" s="393"/>
      <c r="G32" s="393"/>
      <c r="H32" s="393"/>
      <c r="I32" s="393"/>
      <c r="K32" s="294" t="s">
        <v>592</v>
      </c>
      <c r="L32" s="31"/>
      <c r="M32" s="31"/>
    </row>
    <row r="33" spans="2:10" ht="15" customHeight="1" x14ac:dyDescent="0.35">
      <c r="B33" s="393"/>
      <c r="C33" s="393"/>
      <c r="D33" s="393"/>
      <c r="E33" s="393"/>
      <c r="F33" s="393"/>
      <c r="G33" s="393"/>
      <c r="H33" s="393"/>
      <c r="I33" s="393"/>
    </row>
    <row r="34" spans="2:10" ht="15" customHeight="1" x14ac:dyDescent="0.35">
      <c r="B34" s="393"/>
      <c r="C34" s="393"/>
      <c r="D34" s="393"/>
      <c r="E34" s="393"/>
      <c r="F34" s="393"/>
      <c r="G34" s="393"/>
      <c r="H34" s="393"/>
      <c r="I34" s="393"/>
    </row>
    <row r="35" spans="2:10" ht="15" customHeight="1" x14ac:dyDescent="0.35">
      <c r="B35" s="393"/>
      <c r="C35" s="393"/>
      <c r="D35" s="393"/>
      <c r="E35" s="393"/>
      <c r="F35" s="393"/>
      <c r="G35" s="393"/>
      <c r="H35" s="393"/>
      <c r="I35" s="393"/>
      <c r="J35" s="33"/>
    </row>
    <row r="36" spans="2:10" ht="15" customHeight="1" x14ac:dyDescent="0.35">
      <c r="B36" s="393"/>
      <c r="C36" s="393"/>
      <c r="D36" s="393"/>
      <c r="E36" s="393"/>
      <c r="F36" s="393"/>
      <c r="G36" s="393"/>
      <c r="H36" s="393"/>
      <c r="I36" s="393"/>
      <c r="J36" s="33"/>
    </row>
    <row r="37" spans="2:10" ht="15" customHeight="1" x14ac:dyDescent="0.35">
      <c r="B37" s="393"/>
      <c r="C37" s="393"/>
      <c r="D37" s="393"/>
      <c r="E37" s="393"/>
      <c r="F37" s="393"/>
      <c r="G37" s="393"/>
      <c r="H37" s="393"/>
      <c r="I37" s="393"/>
    </row>
    <row r="38" spans="2:10" ht="15" customHeight="1" x14ac:dyDescent="0.35"/>
    <row r="39" spans="2:10" ht="15" customHeight="1" x14ac:dyDescent="0.35"/>
  </sheetData>
  <mergeCells count="7">
    <mergeCell ref="B29:I37"/>
    <mergeCell ref="B20:I20"/>
    <mergeCell ref="B2:M2"/>
    <mergeCell ref="B3:M3"/>
    <mergeCell ref="B6:I6"/>
    <mergeCell ref="K6:M6"/>
    <mergeCell ref="B12:I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D9"/>
  <sheetViews>
    <sheetView zoomScaleNormal="100" workbookViewId="0">
      <selection activeCell="E22" sqref="E22"/>
    </sheetView>
  </sheetViews>
  <sheetFormatPr baseColWidth="10" defaultColWidth="10.6328125" defaultRowHeight="14.5" x14ac:dyDescent="0.35"/>
  <cols>
    <col min="1" max="1" width="25.54296875" customWidth="1"/>
    <col min="2" max="2" width="12.1796875" customWidth="1"/>
  </cols>
  <sheetData>
    <row r="1" spans="1:4" ht="19.5" customHeight="1" x14ac:dyDescent="0.4">
      <c r="A1" s="399" t="s">
        <v>36</v>
      </c>
      <c r="B1" s="399"/>
      <c r="C1" s="399"/>
      <c r="D1" s="399"/>
    </row>
    <row r="2" spans="1:4" ht="14.25" customHeight="1" x14ac:dyDescent="0.35">
      <c r="A2" s="34" t="s">
        <v>37</v>
      </c>
    </row>
    <row r="5" spans="1:4" ht="15" customHeight="1" x14ac:dyDescent="0.35">
      <c r="A5" s="400" t="s">
        <v>38</v>
      </c>
      <c r="B5" s="400"/>
      <c r="C5" s="400"/>
      <c r="D5" s="400"/>
    </row>
    <row r="6" spans="1:4" ht="14.25" customHeight="1" x14ac:dyDescent="0.35">
      <c r="A6" s="35" t="s">
        <v>39</v>
      </c>
      <c r="B6" s="36" t="s">
        <v>40</v>
      </c>
      <c r="C6" s="37"/>
      <c r="D6" s="37"/>
    </row>
    <row r="7" spans="1:4" ht="14.25" customHeight="1" x14ac:dyDescent="0.35">
      <c r="A7" s="38" t="s">
        <v>41</v>
      </c>
      <c r="B7" s="39">
        <v>500</v>
      </c>
      <c r="C7" s="37"/>
      <c r="D7" s="37"/>
    </row>
    <row r="8" spans="1:4" ht="14.25" customHeight="1" x14ac:dyDescent="0.35">
      <c r="A8" s="38" t="s">
        <v>42</v>
      </c>
      <c r="B8" s="39">
        <v>3303</v>
      </c>
      <c r="C8" s="37"/>
      <c r="D8" s="37"/>
    </row>
    <row r="9" spans="1:4" ht="14.25" customHeight="1" x14ac:dyDescent="0.35">
      <c r="A9" s="35" t="s">
        <v>43</v>
      </c>
      <c r="B9" s="40">
        <f>SUM(B7:B8)</f>
        <v>3803</v>
      </c>
      <c r="C9" s="37"/>
      <c r="D9" s="37"/>
    </row>
  </sheetData>
  <mergeCells count="2">
    <mergeCell ref="A1:D1"/>
    <mergeCell ref="A5:D5"/>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S66"/>
  <sheetViews>
    <sheetView topLeftCell="A9" zoomScaleNormal="100" workbookViewId="0">
      <selection activeCell="A41" sqref="A41"/>
    </sheetView>
  </sheetViews>
  <sheetFormatPr baseColWidth="10" defaultColWidth="8.6328125" defaultRowHeight="14.5" x14ac:dyDescent="0.35"/>
  <cols>
    <col min="1" max="1" width="45" customWidth="1"/>
    <col min="2" max="2" width="15" customWidth="1"/>
    <col min="3" max="3" width="18" customWidth="1"/>
    <col min="4" max="5" width="20" customWidth="1"/>
    <col min="6" max="6" width="17.08984375" bestFit="1" customWidth="1"/>
    <col min="7" max="18" width="12" customWidth="1"/>
  </cols>
  <sheetData>
    <row r="1" spans="1:18" ht="19.5" customHeight="1" x14ac:dyDescent="0.4">
      <c r="A1" s="399" t="s">
        <v>36</v>
      </c>
      <c r="B1" s="399"/>
      <c r="C1" s="399"/>
      <c r="D1" s="399"/>
      <c r="E1" s="3"/>
    </row>
    <row r="2" spans="1:18" ht="15" customHeight="1" x14ac:dyDescent="0.35">
      <c r="A2" s="41"/>
    </row>
    <row r="4" spans="1:18" ht="15" customHeight="1" x14ac:dyDescent="0.35">
      <c r="A4" s="38"/>
      <c r="B4" s="37"/>
      <c r="C4" s="37"/>
      <c r="D4" s="37"/>
      <c r="E4" s="176"/>
    </row>
    <row r="5" spans="1:18" ht="15" customHeight="1" x14ac:dyDescent="0.35">
      <c r="A5" s="401" t="s">
        <v>44</v>
      </c>
      <c r="B5" s="401"/>
      <c r="C5" s="401"/>
      <c r="D5" s="401"/>
      <c r="E5" s="220"/>
    </row>
    <row r="6" spans="1:18" ht="15" customHeight="1" x14ac:dyDescent="0.35">
      <c r="A6" s="402" t="s">
        <v>45</v>
      </c>
      <c r="B6" s="402"/>
      <c r="C6" s="402"/>
      <c r="D6" s="402"/>
      <c r="E6" s="177"/>
    </row>
    <row r="7" spans="1:18" ht="15" customHeight="1" x14ac:dyDescent="0.35">
      <c r="A7" s="35" t="s">
        <v>46</v>
      </c>
      <c r="B7" s="36" t="s">
        <v>47</v>
      </c>
      <c r="C7" s="36" t="s">
        <v>48</v>
      </c>
      <c r="D7" s="36" t="s">
        <v>49</v>
      </c>
      <c r="E7" s="178"/>
      <c r="F7" s="42" t="s">
        <v>50</v>
      </c>
      <c r="G7" s="182" t="s">
        <v>51</v>
      </c>
      <c r="H7" s="182" t="s">
        <v>52</v>
      </c>
      <c r="I7" s="182" t="s">
        <v>53</v>
      </c>
      <c r="J7" s="182" t="s">
        <v>54</v>
      </c>
      <c r="K7" s="182" t="s">
        <v>55</v>
      </c>
      <c r="L7" s="182" t="s">
        <v>56</v>
      </c>
      <c r="M7" s="182" t="s">
        <v>57</v>
      </c>
      <c r="N7" s="182" t="s">
        <v>58</v>
      </c>
      <c r="O7" s="182" t="s">
        <v>59</v>
      </c>
      <c r="P7" s="182" t="s">
        <v>60</v>
      </c>
      <c r="Q7" s="182" t="s">
        <v>61</v>
      </c>
      <c r="R7" s="182" t="s">
        <v>62</v>
      </c>
    </row>
    <row r="8" spans="1:18" ht="15" customHeight="1" x14ac:dyDescent="0.35">
      <c r="A8" s="38" t="s">
        <v>482</v>
      </c>
      <c r="B8" s="37">
        <v>10</v>
      </c>
      <c r="C8" s="37" t="s">
        <v>63</v>
      </c>
      <c r="D8" s="39">
        <v>10000</v>
      </c>
      <c r="E8" s="179"/>
      <c r="F8" t="s">
        <v>64</v>
      </c>
      <c r="G8" s="183">
        <f>$D$8/10</f>
        <v>1000</v>
      </c>
      <c r="H8" s="183">
        <f t="shared" ref="H8:L8" si="0">$D$8/10</f>
        <v>1000</v>
      </c>
      <c r="I8" s="183">
        <f t="shared" si="0"/>
        <v>1000</v>
      </c>
      <c r="J8" s="183">
        <f t="shared" si="0"/>
        <v>1000</v>
      </c>
      <c r="K8" s="183">
        <f t="shared" si="0"/>
        <v>1000</v>
      </c>
      <c r="L8" s="183">
        <f t="shared" si="0"/>
        <v>1000</v>
      </c>
      <c r="M8" s="184">
        <v>0</v>
      </c>
      <c r="N8" s="184">
        <v>0</v>
      </c>
      <c r="O8" s="183">
        <f>$D$8/10</f>
        <v>1000</v>
      </c>
      <c r="P8" s="183">
        <f t="shared" ref="P8:R8" si="1">$D$8/10</f>
        <v>1000</v>
      </c>
      <c r="Q8" s="183">
        <f t="shared" si="1"/>
        <v>1000</v>
      </c>
      <c r="R8" s="183">
        <f t="shared" si="1"/>
        <v>1000</v>
      </c>
    </row>
    <row r="9" spans="1:18" ht="15" customHeight="1" x14ac:dyDescent="0.35">
      <c r="A9" s="38" t="s">
        <v>483</v>
      </c>
      <c r="B9" s="37">
        <v>3</v>
      </c>
      <c r="C9" s="37" t="s">
        <v>63</v>
      </c>
      <c r="D9" s="39">
        <v>6000</v>
      </c>
      <c r="E9" s="179"/>
      <c r="F9" t="s">
        <v>65</v>
      </c>
      <c r="G9" s="183">
        <f>$D$9/3</f>
        <v>2000</v>
      </c>
      <c r="H9" s="183">
        <f t="shared" ref="H9:I9" si="2">$D$9/3</f>
        <v>2000</v>
      </c>
      <c r="I9" s="183">
        <f t="shared" si="2"/>
        <v>2000</v>
      </c>
      <c r="J9" s="184">
        <v>0</v>
      </c>
      <c r="K9" s="184">
        <v>0</v>
      </c>
      <c r="L9" s="184">
        <v>0</v>
      </c>
      <c r="M9" s="184">
        <v>0</v>
      </c>
      <c r="N9" s="184">
        <v>0</v>
      </c>
      <c r="O9" s="184">
        <v>0</v>
      </c>
      <c r="P9" s="184">
        <v>0</v>
      </c>
      <c r="Q9" s="184">
        <v>0</v>
      </c>
      <c r="R9" s="184">
        <v>0</v>
      </c>
    </row>
    <row r="10" spans="1:18" ht="15" customHeight="1" x14ac:dyDescent="0.35">
      <c r="A10" s="38" t="s">
        <v>484</v>
      </c>
      <c r="B10" s="37">
        <v>12</v>
      </c>
      <c r="C10" s="37" t="s">
        <v>67</v>
      </c>
      <c r="D10" s="39">
        <v>21600</v>
      </c>
      <c r="E10" s="179"/>
      <c r="F10" t="s">
        <v>68</v>
      </c>
      <c r="G10" s="183">
        <f>$D$10/12</f>
        <v>1800</v>
      </c>
      <c r="H10" s="183">
        <f t="shared" ref="H10:R10" si="3">$D$10/12</f>
        <v>1800</v>
      </c>
      <c r="I10" s="183">
        <f t="shared" si="3"/>
        <v>1800</v>
      </c>
      <c r="J10" s="183">
        <f t="shared" si="3"/>
        <v>1800</v>
      </c>
      <c r="K10" s="183">
        <f t="shared" si="3"/>
        <v>1800</v>
      </c>
      <c r="L10" s="183">
        <f t="shared" si="3"/>
        <v>1800</v>
      </c>
      <c r="M10" s="183">
        <f t="shared" si="3"/>
        <v>1800</v>
      </c>
      <c r="N10" s="183">
        <f t="shared" si="3"/>
        <v>1800</v>
      </c>
      <c r="O10" s="183">
        <f t="shared" si="3"/>
        <v>1800</v>
      </c>
      <c r="P10" s="183">
        <f t="shared" si="3"/>
        <v>1800</v>
      </c>
      <c r="Q10" s="183">
        <f t="shared" si="3"/>
        <v>1800</v>
      </c>
      <c r="R10" s="183">
        <f t="shared" si="3"/>
        <v>1800</v>
      </c>
    </row>
    <row r="11" spans="1:18" ht="15" customHeight="1" x14ac:dyDescent="0.35">
      <c r="A11" s="38" t="s">
        <v>485</v>
      </c>
      <c r="B11" s="37">
        <v>12</v>
      </c>
      <c r="C11" s="37" t="s">
        <v>69</v>
      </c>
      <c r="D11" s="43">
        <v>18500</v>
      </c>
      <c r="E11" s="143"/>
      <c r="F11" t="s">
        <v>68</v>
      </c>
      <c r="G11" s="183">
        <f>$D$11/12</f>
        <v>1541.6666666666667</v>
      </c>
      <c r="H11" s="183">
        <f t="shared" ref="H11:R11" si="4">$D$11/12</f>
        <v>1541.6666666666667</v>
      </c>
      <c r="I11" s="183">
        <f t="shared" si="4"/>
        <v>1541.6666666666667</v>
      </c>
      <c r="J11" s="183">
        <f t="shared" si="4"/>
        <v>1541.6666666666667</v>
      </c>
      <c r="K11" s="183">
        <f t="shared" si="4"/>
        <v>1541.6666666666667</v>
      </c>
      <c r="L11" s="183">
        <f t="shared" si="4"/>
        <v>1541.6666666666667</v>
      </c>
      <c r="M11" s="183">
        <f t="shared" si="4"/>
        <v>1541.6666666666667</v>
      </c>
      <c r="N11" s="183">
        <f t="shared" si="4"/>
        <v>1541.6666666666667</v>
      </c>
      <c r="O11" s="183">
        <f t="shared" si="4"/>
        <v>1541.6666666666667</v>
      </c>
      <c r="P11" s="183">
        <f t="shared" si="4"/>
        <v>1541.6666666666667</v>
      </c>
      <c r="Q11" s="183">
        <f t="shared" si="4"/>
        <v>1541.6666666666667</v>
      </c>
      <c r="R11" s="183">
        <f t="shared" si="4"/>
        <v>1541.6666666666667</v>
      </c>
    </row>
    <row r="12" spans="1:18" ht="15" customHeight="1" x14ac:dyDescent="0.35">
      <c r="A12" s="38" t="s">
        <v>486</v>
      </c>
      <c r="B12" s="37">
        <v>12</v>
      </c>
      <c r="C12" s="37" t="s">
        <v>63</v>
      </c>
      <c r="D12" s="39">
        <v>27396</v>
      </c>
      <c r="E12" s="179"/>
      <c r="F12" t="s">
        <v>70</v>
      </c>
      <c r="G12" s="183">
        <f>$D$12/6</f>
        <v>4566</v>
      </c>
      <c r="H12" s="184">
        <v>0</v>
      </c>
      <c r="I12" s="183">
        <f t="shared" ref="I12:Q12" si="5">$D$12/6</f>
        <v>4566</v>
      </c>
      <c r="J12" s="184">
        <v>0</v>
      </c>
      <c r="K12" s="183">
        <f t="shared" si="5"/>
        <v>4566</v>
      </c>
      <c r="L12" s="184">
        <v>0</v>
      </c>
      <c r="M12" s="183">
        <f t="shared" si="5"/>
        <v>4566</v>
      </c>
      <c r="N12" s="184">
        <v>0</v>
      </c>
      <c r="O12" s="183">
        <f t="shared" si="5"/>
        <v>4566</v>
      </c>
      <c r="P12" s="184">
        <v>0</v>
      </c>
      <c r="Q12" s="183">
        <f t="shared" si="5"/>
        <v>4566</v>
      </c>
      <c r="R12" s="184">
        <v>0</v>
      </c>
    </row>
    <row r="13" spans="1:18" ht="15" customHeight="1" x14ac:dyDescent="0.35">
      <c r="A13" s="35" t="s">
        <v>71</v>
      </c>
      <c r="B13" s="44"/>
      <c r="C13" s="44"/>
      <c r="D13" s="40">
        <f>SUM(D8:D12)</f>
        <v>83496</v>
      </c>
      <c r="E13" s="180"/>
      <c r="G13" s="185">
        <f t="shared" ref="G13:R13" si="6">SUM(G8:G12)</f>
        <v>10907.666666666668</v>
      </c>
      <c r="H13" s="185">
        <f t="shared" si="6"/>
        <v>6341.666666666667</v>
      </c>
      <c r="I13" s="185">
        <f t="shared" si="6"/>
        <v>10907.666666666668</v>
      </c>
      <c r="J13" s="185">
        <f t="shared" si="6"/>
        <v>4341.666666666667</v>
      </c>
      <c r="K13" s="185">
        <f t="shared" si="6"/>
        <v>8907.6666666666679</v>
      </c>
      <c r="L13" s="185">
        <f t="shared" si="6"/>
        <v>4341.666666666667</v>
      </c>
      <c r="M13" s="185">
        <f t="shared" si="6"/>
        <v>7907.666666666667</v>
      </c>
      <c r="N13" s="185">
        <f t="shared" si="6"/>
        <v>3341.666666666667</v>
      </c>
      <c r="O13" s="185">
        <f t="shared" si="6"/>
        <v>8907.6666666666679</v>
      </c>
      <c r="P13" s="185">
        <f t="shared" si="6"/>
        <v>4341.666666666667</v>
      </c>
      <c r="Q13" s="185">
        <f t="shared" si="6"/>
        <v>8907.6666666666679</v>
      </c>
      <c r="R13" s="185">
        <f t="shared" si="6"/>
        <v>4341.666666666667</v>
      </c>
    </row>
    <row r="14" spans="1:18" ht="15" customHeight="1" x14ac:dyDescent="0.35">
      <c r="A14" s="38"/>
      <c r="B14" s="37"/>
      <c r="C14" s="37"/>
      <c r="D14" s="37"/>
      <c r="E14" s="176"/>
    </row>
    <row r="15" spans="1:18" ht="15" customHeight="1" x14ac:dyDescent="0.35">
      <c r="A15" s="401" t="s">
        <v>72</v>
      </c>
      <c r="B15" s="401"/>
      <c r="C15" s="401"/>
      <c r="D15" s="401"/>
      <c r="E15" s="220"/>
    </row>
    <row r="16" spans="1:18" ht="15" customHeight="1" x14ac:dyDescent="0.35">
      <c r="A16" s="35" t="s">
        <v>39</v>
      </c>
      <c r="B16" s="226"/>
      <c r="C16" s="36" t="s">
        <v>73</v>
      </c>
      <c r="D16" s="36" t="s">
        <v>74</v>
      </c>
      <c r="E16" s="225" t="s">
        <v>75</v>
      </c>
      <c r="F16" t="s">
        <v>50</v>
      </c>
      <c r="G16" s="45" t="s">
        <v>51</v>
      </c>
      <c r="H16" s="45" t="s">
        <v>52</v>
      </c>
      <c r="I16" s="45" t="s">
        <v>53</v>
      </c>
      <c r="J16" s="45" t="s">
        <v>54</v>
      </c>
      <c r="K16" s="45" t="s">
        <v>55</v>
      </c>
      <c r="L16" s="45" t="s">
        <v>56</v>
      </c>
      <c r="M16" s="45" t="s">
        <v>57</v>
      </c>
      <c r="N16" s="45" t="s">
        <v>58</v>
      </c>
      <c r="O16" s="45" t="s">
        <v>59</v>
      </c>
      <c r="P16" s="45" t="s">
        <v>60</v>
      </c>
      <c r="Q16" s="45" t="s">
        <v>61</v>
      </c>
      <c r="R16" s="45" t="s">
        <v>62</v>
      </c>
    </row>
    <row r="17" spans="1:18" ht="15" customHeight="1" x14ac:dyDescent="0.35">
      <c r="A17" s="38" t="s">
        <v>76</v>
      </c>
      <c r="C17" s="37" t="s">
        <v>77</v>
      </c>
      <c r="D17" s="39">
        <v>50</v>
      </c>
      <c r="E17" s="37" t="s">
        <v>78</v>
      </c>
      <c r="F17" t="s">
        <v>62</v>
      </c>
      <c r="G17" s="46">
        <f t="shared" ref="G17:R28" si="7">IF($E17="Mensuel",$D17/12,IF($E17="Annuel",IF(G$16=$F17,$D17,0),IF($E17="Trimestriel",IF(OR(G$16="Janvier",G$16="Avril",G$16="Juillet",G$16="Octobre"),$D17/4,0),0)))</f>
        <v>0</v>
      </c>
      <c r="H17" s="46">
        <f t="shared" si="7"/>
        <v>0</v>
      </c>
      <c r="I17" s="46">
        <f t="shared" si="7"/>
        <v>0</v>
      </c>
      <c r="J17" s="46">
        <f t="shared" si="7"/>
        <v>0</v>
      </c>
      <c r="K17" s="46">
        <f t="shared" si="7"/>
        <v>0</v>
      </c>
      <c r="L17" s="46">
        <f t="shared" si="7"/>
        <v>0</v>
      </c>
      <c r="M17" s="46">
        <f t="shared" si="7"/>
        <v>0</v>
      </c>
      <c r="N17" s="46">
        <f t="shared" si="7"/>
        <v>0</v>
      </c>
      <c r="O17" s="46">
        <f t="shared" si="7"/>
        <v>0</v>
      </c>
      <c r="P17" s="46">
        <f t="shared" si="7"/>
        <v>0</v>
      </c>
      <c r="Q17" s="46">
        <f t="shared" si="7"/>
        <v>0</v>
      </c>
      <c r="R17" s="46">
        <f t="shared" si="7"/>
        <v>50</v>
      </c>
    </row>
    <row r="18" spans="1:18" ht="15" customHeight="1" x14ac:dyDescent="0.35">
      <c r="A18" s="38" t="s">
        <v>79</v>
      </c>
      <c r="C18" s="37" t="s">
        <v>80</v>
      </c>
      <c r="D18" s="39">
        <v>10000</v>
      </c>
      <c r="E18" s="37" t="s">
        <v>81</v>
      </c>
      <c r="F18" t="s">
        <v>68</v>
      </c>
      <c r="G18" s="46">
        <f t="shared" si="7"/>
        <v>833.33333333333337</v>
      </c>
      <c r="H18" s="46">
        <f t="shared" si="7"/>
        <v>833.33333333333337</v>
      </c>
      <c r="I18" s="46">
        <f t="shared" si="7"/>
        <v>833.33333333333337</v>
      </c>
      <c r="J18" s="46">
        <f t="shared" si="7"/>
        <v>833.33333333333337</v>
      </c>
      <c r="K18" s="46">
        <f t="shared" si="7"/>
        <v>833.33333333333337</v>
      </c>
      <c r="L18" s="46">
        <f t="shared" si="7"/>
        <v>833.33333333333337</v>
      </c>
      <c r="M18" s="46">
        <f t="shared" si="7"/>
        <v>833.33333333333337</v>
      </c>
      <c r="N18" s="46">
        <f t="shared" si="7"/>
        <v>833.33333333333337</v>
      </c>
      <c r="O18" s="46">
        <f t="shared" si="7"/>
        <v>833.33333333333337</v>
      </c>
      <c r="P18" s="46">
        <f t="shared" si="7"/>
        <v>833.33333333333337</v>
      </c>
      <c r="Q18" s="46">
        <f t="shared" si="7"/>
        <v>833.33333333333337</v>
      </c>
      <c r="R18" s="46">
        <f t="shared" si="7"/>
        <v>833.33333333333337</v>
      </c>
    </row>
    <row r="19" spans="1:18" ht="15" customHeight="1" x14ac:dyDescent="0.35">
      <c r="A19" s="38" t="s">
        <v>82</v>
      </c>
      <c r="C19" s="37" t="s">
        <v>83</v>
      </c>
      <c r="D19" s="39">
        <v>660</v>
      </c>
      <c r="E19" s="37" t="s">
        <v>81</v>
      </c>
      <c r="F19" t="s">
        <v>68</v>
      </c>
      <c r="G19" s="46">
        <f t="shared" si="7"/>
        <v>55</v>
      </c>
      <c r="H19" s="46">
        <f t="shared" si="7"/>
        <v>55</v>
      </c>
      <c r="I19" s="46">
        <f t="shared" si="7"/>
        <v>55</v>
      </c>
      <c r="J19" s="46">
        <f t="shared" si="7"/>
        <v>55</v>
      </c>
      <c r="K19" s="46">
        <f t="shared" si="7"/>
        <v>55</v>
      </c>
      <c r="L19" s="46">
        <f t="shared" si="7"/>
        <v>55</v>
      </c>
      <c r="M19" s="46">
        <f t="shared" si="7"/>
        <v>55</v>
      </c>
      <c r="N19" s="46">
        <f t="shared" si="7"/>
        <v>55</v>
      </c>
      <c r="O19" s="46">
        <f t="shared" si="7"/>
        <v>55</v>
      </c>
      <c r="P19" s="46">
        <f t="shared" si="7"/>
        <v>55</v>
      </c>
      <c r="Q19" s="46">
        <f t="shared" si="7"/>
        <v>55</v>
      </c>
      <c r="R19" s="46">
        <f t="shared" si="7"/>
        <v>55</v>
      </c>
    </row>
    <row r="20" spans="1:18" ht="15" customHeight="1" x14ac:dyDescent="0.35">
      <c r="A20" s="38" t="s">
        <v>84</v>
      </c>
      <c r="C20" s="37" t="s">
        <v>83</v>
      </c>
      <c r="D20" s="39">
        <v>777.6</v>
      </c>
      <c r="E20" s="37" t="s">
        <v>81</v>
      </c>
      <c r="F20" t="s">
        <v>68</v>
      </c>
      <c r="G20" s="46">
        <f t="shared" si="7"/>
        <v>64.8</v>
      </c>
      <c r="H20" s="46">
        <f t="shared" si="7"/>
        <v>64.8</v>
      </c>
      <c r="I20" s="46">
        <f t="shared" si="7"/>
        <v>64.8</v>
      </c>
      <c r="J20" s="46">
        <f t="shared" si="7"/>
        <v>64.8</v>
      </c>
      <c r="K20" s="46">
        <f t="shared" si="7"/>
        <v>64.8</v>
      </c>
      <c r="L20" s="46">
        <f t="shared" si="7"/>
        <v>64.8</v>
      </c>
      <c r="M20" s="46">
        <f t="shared" si="7"/>
        <v>64.8</v>
      </c>
      <c r="N20" s="46">
        <f t="shared" si="7"/>
        <v>64.8</v>
      </c>
      <c r="O20" s="46">
        <f t="shared" si="7"/>
        <v>64.8</v>
      </c>
      <c r="P20" s="46">
        <f t="shared" si="7"/>
        <v>64.8</v>
      </c>
      <c r="Q20" s="46">
        <f t="shared" si="7"/>
        <v>64.8</v>
      </c>
      <c r="R20" s="46">
        <f t="shared" si="7"/>
        <v>64.8</v>
      </c>
    </row>
    <row r="21" spans="1:18" ht="15" customHeight="1" x14ac:dyDescent="0.35">
      <c r="A21" s="38" t="s">
        <v>85</v>
      </c>
      <c r="C21" s="37" t="s">
        <v>86</v>
      </c>
      <c r="D21" s="39">
        <v>9600</v>
      </c>
      <c r="E21" s="37" t="s">
        <v>81</v>
      </c>
      <c r="F21" t="s">
        <v>68</v>
      </c>
      <c r="G21" s="46">
        <f t="shared" si="7"/>
        <v>800</v>
      </c>
      <c r="H21" s="46">
        <f t="shared" si="7"/>
        <v>800</v>
      </c>
      <c r="I21" s="46">
        <f t="shared" si="7"/>
        <v>800</v>
      </c>
      <c r="J21" s="46">
        <f t="shared" si="7"/>
        <v>800</v>
      </c>
      <c r="K21" s="46">
        <f t="shared" si="7"/>
        <v>800</v>
      </c>
      <c r="L21" s="46">
        <f t="shared" si="7"/>
        <v>800</v>
      </c>
      <c r="M21" s="46">
        <f t="shared" si="7"/>
        <v>800</v>
      </c>
      <c r="N21" s="46">
        <f t="shared" si="7"/>
        <v>800</v>
      </c>
      <c r="O21" s="46">
        <f t="shared" si="7"/>
        <v>800</v>
      </c>
      <c r="P21" s="46">
        <f t="shared" si="7"/>
        <v>800</v>
      </c>
      <c r="Q21" s="46">
        <f t="shared" si="7"/>
        <v>800</v>
      </c>
      <c r="R21" s="46">
        <f t="shared" si="7"/>
        <v>800</v>
      </c>
    </row>
    <row r="22" spans="1:18" ht="15" customHeight="1" x14ac:dyDescent="0.35">
      <c r="A22" t="s">
        <v>87</v>
      </c>
      <c r="C22" t="s">
        <v>86</v>
      </c>
      <c r="D22" s="47">
        <v>3600</v>
      </c>
      <c r="E22" s="176" t="s">
        <v>81</v>
      </c>
      <c r="F22" t="s">
        <v>68</v>
      </c>
      <c r="G22" s="46">
        <f t="shared" si="7"/>
        <v>300</v>
      </c>
      <c r="H22" s="46">
        <f t="shared" si="7"/>
        <v>300</v>
      </c>
      <c r="I22" s="46">
        <f t="shared" si="7"/>
        <v>300</v>
      </c>
      <c r="J22" s="46">
        <f t="shared" si="7"/>
        <v>300</v>
      </c>
      <c r="K22" s="46">
        <f t="shared" si="7"/>
        <v>300</v>
      </c>
      <c r="L22" s="46">
        <f t="shared" si="7"/>
        <v>300</v>
      </c>
      <c r="M22" s="46">
        <f t="shared" si="7"/>
        <v>300</v>
      </c>
      <c r="N22" s="46">
        <f t="shared" si="7"/>
        <v>300</v>
      </c>
      <c r="O22" s="46">
        <f t="shared" si="7"/>
        <v>300</v>
      </c>
      <c r="P22" s="46">
        <f t="shared" si="7"/>
        <v>300</v>
      </c>
      <c r="Q22" s="46">
        <f t="shared" si="7"/>
        <v>300</v>
      </c>
      <c r="R22" s="46">
        <f t="shared" si="7"/>
        <v>300</v>
      </c>
    </row>
    <row r="23" spans="1:18" ht="15" customHeight="1" x14ac:dyDescent="0.35">
      <c r="A23" t="s">
        <v>88</v>
      </c>
      <c r="C23" t="s">
        <v>80</v>
      </c>
      <c r="D23" s="47">
        <v>5850</v>
      </c>
      <c r="E23" s="176" t="s">
        <v>81</v>
      </c>
      <c r="F23" t="s">
        <v>68</v>
      </c>
      <c r="G23" s="46">
        <f t="shared" si="7"/>
        <v>487.5</v>
      </c>
      <c r="H23" s="46">
        <f t="shared" si="7"/>
        <v>487.5</v>
      </c>
      <c r="I23" s="46">
        <f t="shared" si="7"/>
        <v>487.5</v>
      </c>
      <c r="J23" s="46">
        <f t="shared" si="7"/>
        <v>487.5</v>
      </c>
      <c r="K23" s="46">
        <f t="shared" si="7"/>
        <v>487.5</v>
      </c>
      <c r="L23" s="46">
        <f t="shared" si="7"/>
        <v>487.5</v>
      </c>
      <c r="M23" s="46">
        <f t="shared" si="7"/>
        <v>487.5</v>
      </c>
      <c r="N23" s="46">
        <f t="shared" si="7"/>
        <v>487.5</v>
      </c>
      <c r="O23" s="46">
        <f t="shared" si="7"/>
        <v>487.5</v>
      </c>
      <c r="P23" s="46">
        <f t="shared" si="7"/>
        <v>487.5</v>
      </c>
      <c r="Q23" s="46">
        <f t="shared" si="7"/>
        <v>487.5</v>
      </c>
      <c r="R23" s="46">
        <f t="shared" si="7"/>
        <v>487.5</v>
      </c>
    </row>
    <row r="24" spans="1:18" ht="15" customHeight="1" x14ac:dyDescent="0.35">
      <c r="A24" s="38" t="s">
        <v>89</v>
      </c>
      <c r="C24" s="37" t="s">
        <v>90</v>
      </c>
      <c r="D24" s="39">
        <v>570</v>
      </c>
      <c r="E24" s="37" t="s">
        <v>78</v>
      </c>
      <c r="F24" t="s">
        <v>52</v>
      </c>
      <c r="G24" s="46">
        <f t="shared" si="7"/>
        <v>0</v>
      </c>
      <c r="H24" s="46">
        <f t="shared" si="7"/>
        <v>570</v>
      </c>
      <c r="I24" s="46">
        <f t="shared" si="7"/>
        <v>0</v>
      </c>
      <c r="J24" s="46">
        <f t="shared" si="7"/>
        <v>0</v>
      </c>
      <c r="K24" s="46">
        <f t="shared" si="7"/>
        <v>0</v>
      </c>
      <c r="L24" s="46">
        <f t="shared" si="7"/>
        <v>0</v>
      </c>
      <c r="M24" s="46">
        <f t="shared" si="7"/>
        <v>0</v>
      </c>
      <c r="N24" s="46">
        <f t="shared" si="7"/>
        <v>0</v>
      </c>
      <c r="O24" s="46">
        <f t="shared" si="7"/>
        <v>0</v>
      </c>
      <c r="P24" s="46">
        <f t="shared" si="7"/>
        <v>0</v>
      </c>
      <c r="Q24" s="46">
        <f t="shared" si="7"/>
        <v>0</v>
      </c>
      <c r="R24" s="46">
        <f t="shared" si="7"/>
        <v>0</v>
      </c>
    </row>
    <row r="25" spans="1:18" ht="15" customHeight="1" x14ac:dyDescent="0.35">
      <c r="A25" s="38" t="s">
        <v>91</v>
      </c>
      <c r="C25" s="37" t="s">
        <v>83</v>
      </c>
      <c r="D25" s="39">
        <v>5400</v>
      </c>
      <c r="E25" s="37" t="s">
        <v>81</v>
      </c>
      <c r="F25" t="s">
        <v>68</v>
      </c>
      <c r="G25" s="46">
        <f t="shared" si="7"/>
        <v>450</v>
      </c>
      <c r="H25" s="46">
        <f t="shared" si="7"/>
        <v>450</v>
      </c>
      <c r="I25" s="46">
        <f t="shared" si="7"/>
        <v>450</v>
      </c>
      <c r="J25" s="46">
        <f t="shared" si="7"/>
        <v>450</v>
      </c>
      <c r="K25" s="46">
        <f t="shared" si="7"/>
        <v>450</v>
      </c>
      <c r="L25" s="46">
        <f t="shared" si="7"/>
        <v>450</v>
      </c>
      <c r="M25" s="46">
        <f t="shared" si="7"/>
        <v>450</v>
      </c>
      <c r="N25" s="46">
        <f t="shared" si="7"/>
        <v>450</v>
      </c>
      <c r="O25" s="46">
        <f t="shared" si="7"/>
        <v>450</v>
      </c>
      <c r="P25" s="46">
        <f t="shared" si="7"/>
        <v>450</v>
      </c>
      <c r="Q25" s="46">
        <f t="shared" si="7"/>
        <v>450</v>
      </c>
      <c r="R25" s="46">
        <f t="shared" si="7"/>
        <v>450</v>
      </c>
    </row>
    <row r="26" spans="1:18" ht="15" customHeight="1" x14ac:dyDescent="0.35">
      <c r="A26" s="38" t="s">
        <v>92</v>
      </c>
      <c r="C26" s="37" t="s">
        <v>83</v>
      </c>
      <c r="D26" s="39">
        <v>4650</v>
      </c>
      <c r="E26" s="37" t="s">
        <v>78</v>
      </c>
      <c r="F26" t="s">
        <v>51</v>
      </c>
      <c r="G26" s="46">
        <f t="shared" si="7"/>
        <v>4650</v>
      </c>
      <c r="H26" s="46">
        <f t="shared" si="7"/>
        <v>0</v>
      </c>
      <c r="I26" s="46">
        <f t="shared" si="7"/>
        <v>0</v>
      </c>
      <c r="J26" s="46">
        <f t="shared" si="7"/>
        <v>0</v>
      </c>
      <c r="K26" s="46">
        <f t="shared" si="7"/>
        <v>0</v>
      </c>
      <c r="L26" s="46">
        <f t="shared" si="7"/>
        <v>0</v>
      </c>
      <c r="M26" s="46">
        <f t="shared" si="7"/>
        <v>0</v>
      </c>
      <c r="N26" s="46">
        <f t="shared" si="7"/>
        <v>0</v>
      </c>
      <c r="O26" s="46">
        <f t="shared" si="7"/>
        <v>0</v>
      </c>
      <c r="P26" s="46">
        <f t="shared" si="7"/>
        <v>0</v>
      </c>
      <c r="Q26" s="46">
        <f t="shared" si="7"/>
        <v>0</v>
      </c>
      <c r="R26" s="46">
        <f t="shared" si="7"/>
        <v>0</v>
      </c>
    </row>
    <row r="27" spans="1:18" ht="15" customHeight="1" x14ac:dyDescent="0.35">
      <c r="A27" s="38" t="s">
        <v>93</v>
      </c>
      <c r="C27" s="37" t="s">
        <v>94</v>
      </c>
      <c r="D27" s="39">
        <v>5000</v>
      </c>
      <c r="E27" s="37" t="s">
        <v>81</v>
      </c>
      <c r="F27" t="s">
        <v>68</v>
      </c>
      <c r="G27" s="46">
        <f t="shared" si="7"/>
        <v>416.66666666666669</v>
      </c>
      <c r="H27" s="46">
        <f t="shared" si="7"/>
        <v>416.66666666666669</v>
      </c>
      <c r="I27" s="46">
        <f t="shared" si="7"/>
        <v>416.66666666666669</v>
      </c>
      <c r="J27" s="46">
        <f t="shared" si="7"/>
        <v>416.66666666666669</v>
      </c>
      <c r="K27" s="46">
        <f t="shared" si="7"/>
        <v>416.66666666666669</v>
      </c>
      <c r="L27" s="46">
        <f t="shared" si="7"/>
        <v>416.66666666666669</v>
      </c>
      <c r="M27" s="46">
        <f t="shared" si="7"/>
        <v>416.66666666666669</v>
      </c>
      <c r="N27" s="46">
        <f t="shared" si="7"/>
        <v>416.66666666666669</v>
      </c>
      <c r="O27" s="46">
        <f t="shared" si="7"/>
        <v>416.66666666666669</v>
      </c>
      <c r="P27" s="46">
        <f t="shared" si="7"/>
        <v>416.66666666666669</v>
      </c>
      <c r="Q27" s="46">
        <f t="shared" si="7"/>
        <v>416.66666666666669</v>
      </c>
      <c r="R27" s="46">
        <f t="shared" si="7"/>
        <v>416.66666666666669</v>
      </c>
    </row>
    <row r="28" spans="1:18" ht="15" customHeight="1" x14ac:dyDescent="0.35">
      <c r="A28" s="38" t="s">
        <v>95</v>
      </c>
      <c r="C28" s="37" t="s">
        <v>90</v>
      </c>
      <c r="D28" s="39">
        <v>4000</v>
      </c>
      <c r="E28" s="37" t="s">
        <v>96</v>
      </c>
      <c r="F28" t="s">
        <v>97</v>
      </c>
      <c r="G28" s="46">
        <f t="shared" si="7"/>
        <v>1000</v>
      </c>
      <c r="H28" s="46">
        <f t="shared" si="7"/>
        <v>0</v>
      </c>
      <c r="I28" s="46">
        <f t="shared" si="7"/>
        <v>0</v>
      </c>
      <c r="J28" s="46">
        <f t="shared" si="7"/>
        <v>1000</v>
      </c>
      <c r="K28" s="46">
        <f t="shared" si="7"/>
        <v>0</v>
      </c>
      <c r="L28" s="46">
        <f t="shared" si="7"/>
        <v>0</v>
      </c>
      <c r="M28" s="46">
        <f t="shared" si="7"/>
        <v>1000</v>
      </c>
      <c r="N28" s="46">
        <f t="shared" si="7"/>
        <v>0</v>
      </c>
      <c r="O28" s="46">
        <f t="shared" si="7"/>
        <v>0</v>
      </c>
      <c r="P28" s="46">
        <f t="shared" si="7"/>
        <v>1000</v>
      </c>
      <c r="Q28" s="46">
        <f t="shared" si="7"/>
        <v>0</v>
      </c>
      <c r="R28" s="46">
        <f t="shared" si="7"/>
        <v>0</v>
      </c>
    </row>
    <row r="29" spans="1:18" ht="15" customHeight="1" x14ac:dyDescent="0.35">
      <c r="A29" s="222" t="s">
        <v>98</v>
      </c>
      <c r="B29" s="226"/>
      <c r="C29" s="223"/>
      <c r="D29" s="224">
        <f>SUM(D17:D28)</f>
        <v>50157.599999999999</v>
      </c>
      <c r="E29" s="225"/>
      <c r="G29" s="48">
        <f t="shared" ref="G29:R29" si="8">SUM(G17:G28)</f>
        <v>9057.2999999999993</v>
      </c>
      <c r="H29" s="48">
        <f t="shared" si="8"/>
        <v>3977.2999999999997</v>
      </c>
      <c r="I29" s="48">
        <f t="shared" si="8"/>
        <v>3407.2999999999997</v>
      </c>
      <c r="J29" s="48">
        <f t="shared" si="8"/>
        <v>4407.2999999999993</v>
      </c>
      <c r="K29" s="48">
        <f t="shared" si="8"/>
        <v>3407.2999999999997</v>
      </c>
      <c r="L29" s="48">
        <f t="shared" si="8"/>
        <v>3407.2999999999997</v>
      </c>
      <c r="M29" s="48">
        <f t="shared" si="8"/>
        <v>4407.2999999999993</v>
      </c>
      <c r="N29" s="48">
        <f t="shared" si="8"/>
        <v>3407.2999999999997</v>
      </c>
      <c r="O29" s="48">
        <f t="shared" si="8"/>
        <v>3407.2999999999997</v>
      </c>
      <c r="P29" s="48">
        <f t="shared" si="8"/>
        <v>4407.2999999999993</v>
      </c>
      <c r="Q29" s="48">
        <f t="shared" si="8"/>
        <v>3407.2999999999997</v>
      </c>
      <c r="R29" s="48">
        <f t="shared" si="8"/>
        <v>3457.2999999999997</v>
      </c>
    </row>
    <row r="30" spans="1:18" ht="15" customHeight="1" x14ac:dyDescent="0.35">
      <c r="A30" s="49"/>
    </row>
    <row r="31" spans="1:18" ht="15" customHeight="1" x14ac:dyDescent="0.35">
      <c r="A31" s="38"/>
      <c r="B31" s="37"/>
      <c r="C31" s="37"/>
      <c r="D31" s="37"/>
      <c r="E31" s="176"/>
    </row>
    <row r="32" spans="1:18" ht="15" customHeight="1" x14ac:dyDescent="0.35">
      <c r="A32" s="401" t="s">
        <v>99</v>
      </c>
      <c r="B32" s="401"/>
      <c r="C32" s="401"/>
      <c r="D32" s="401"/>
      <c r="E32" s="219"/>
    </row>
    <row r="33" spans="1:19" ht="15" customHeight="1" x14ac:dyDescent="0.35">
      <c r="A33" s="35" t="s">
        <v>39</v>
      </c>
      <c r="B33" s="36" t="s">
        <v>100</v>
      </c>
      <c r="C33" s="36" t="s">
        <v>101</v>
      </c>
      <c r="D33" s="36" t="s">
        <v>102</v>
      </c>
      <c r="E33" s="178"/>
      <c r="F33" s="42" t="s">
        <v>50</v>
      </c>
      <c r="G33" s="182" t="s">
        <v>51</v>
      </c>
      <c r="H33" s="182" t="s">
        <v>52</v>
      </c>
      <c r="I33" s="182" t="s">
        <v>53</v>
      </c>
      <c r="J33" s="182" t="s">
        <v>54</v>
      </c>
      <c r="K33" s="182" t="s">
        <v>55</v>
      </c>
      <c r="L33" s="182" t="s">
        <v>56</v>
      </c>
      <c r="M33" s="182" t="s">
        <v>57</v>
      </c>
      <c r="N33" s="182" t="s">
        <v>58</v>
      </c>
      <c r="O33" s="182" t="s">
        <v>59</v>
      </c>
      <c r="P33" s="182" t="s">
        <v>60</v>
      </c>
      <c r="Q33" s="182" t="s">
        <v>61</v>
      </c>
      <c r="R33" s="182" t="s">
        <v>62</v>
      </c>
    </row>
    <row r="34" spans="1:19" ht="15" customHeight="1" x14ac:dyDescent="0.35">
      <c r="A34" s="38" t="s">
        <v>103</v>
      </c>
      <c r="B34" s="37">
        <v>24</v>
      </c>
      <c r="C34" s="39">
        <f>'Marges Produits'!E49*1.2</f>
        <v>1258.5509999999999</v>
      </c>
      <c r="D34" s="39">
        <f>B34*C34</f>
        <v>30205.223999999998</v>
      </c>
      <c r="E34" s="179"/>
      <c r="F34" t="s">
        <v>104</v>
      </c>
      <c r="G34" s="183">
        <v>10000</v>
      </c>
      <c r="H34" s="184">
        <v>0</v>
      </c>
      <c r="I34" s="184">
        <v>0</v>
      </c>
      <c r="J34" s="184">
        <v>0</v>
      </c>
      <c r="K34" s="183">
        <f t="shared" ref="K34:R34" si="9">$D$34/12</f>
        <v>2517.1019999999999</v>
      </c>
      <c r="L34" s="183">
        <f t="shared" si="9"/>
        <v>2517.1019999999999</v>
      </c>
      <c r="M34" s="183">
        <f t="shared" si="9"/>
        <v>2517.1019999999999</v>
      </c>
      <c r="N34" s="183">
        <f t="shared" si="9"/>
        <v>2517.1019999999999</v>
      </c>
      <c r="O34" s="183">
        <f t="shared" si="9"/>
        <v>2517.1019999999999</v>
      </c>
      <c r="P34" s="183">
        <f t="shared" si="9"/>
        <v>2517.1019999999999</v>
      </c>
      <c r="Q34" s="183">
        <f t="shared" si="9"/>
        <v>2517.1019999999999</v>
      </c>
      <c r="R34" s="183">
        <f t="shared" si="9"/>
        <v>2517.1019999999999</v>
      </c>
      <c r="S34" s="188"/>
    </row>
    <row r="35" spans="1:19" ht="15" customHeight="1" x14ac:dyDescent="0.35">
      <c r="A35" s="38" t="s">
        <v>105</v>
      </c>
      <c r="B35" s="37">
        <v>2</v>
      </c>
      <c r="C35" s="39">
        <v>2500</v>
      </c>
      <c r="D35" s="39">
        <f>B35*C35</f>
        <v>5000</v>
      </c>
      <c r="E35" s="179"/>
      <c r="F35" t="s">
        <v>106</v>
      </c>
      <c r="G35" s="183">
        <f>$C$35</f>
        <v>2500</v>
      </c>
      <c r="H35" s="184">
        <v>0</v>
      </c>
      <c r="I35" s="184">
        <v>0</v>
      </c>
      <c r="J35" s="184">
        <v>0</v>
      </c>
      <c r="K35" s="184">
        <v>0</v>
      </c>
      <c r="L35" s="184">
        <v>0</v>
      </c>
      <c r="M35" s="183">
        <f>$C$35</f>
        <v>2500</v>
      </c>
      <c r="N35" s="184">
        <v>0</v>
      </c>
      <c r="O35" s="184">
        <v>0</v>
      </c>
      <c r="P35" s="184">
        <v>0</v>
      </c>
      <c r="Q35" s="184">
        <v>0</v>
      </c>
      <c r="R35" s="184">
        <v>0</v>
      </c>
    </row>
    <row r="36" spans="1:19" ht="15" customHeight="1" x14ac:dyDescent="0.35">
      <c r="A36" s="38" t="s">
        <v>107</v>
      </c>
      <c r="B36" s="37">
        <v>10</v>
      </c>
      <c r="C36" s="39">
        <f>C34</f>
        <v>1258.5509999999999</v>
      </c>
      <c r="D36" s="39">
        <f>B36*C36</f>
        <v>12585.509999999998</v>
      </c>
      <c r="E36" s="179"/>
      <c r="F36" t="s">
        <v>108</v>
      </c>
      <c r="G36" s="184">
        <v>0</v>
      </c>
      <c r="H36" s="184">
        <v>0</v>
      </c>
      <c r="I36" s="184">
        <v>0</v>
      </c>
      <c r="J36" s="183">
        <f>$D$36/2</f>
        <v>6292.7549999999992</v>
      </c>
      <c r="K36" s="184">
        <v>0</v>
      </c>
      <c r="L36" s="184">
        <v>0</v>
      </c>
      <c r="M36" s="184">
        <v>0</v>
      </c>
      <c r="N36" s="183">
        <f>$D$36/2</f>
        <v>6292.7549999999992</v>
      </c>
      <c r="O36" s="184">
        <v>0</v>
      </c>
      <c r="P36" s="184">
        <v>0</v>
      </c>
      <c r="Q36" s="184">
        <v>0</v>
      </c>
      <c r="R36" s="184">
        <v>0</v>
      </c>
    </row>
    <row r="37" spans="1:19" ht="15" customHeight="1" x14ac:dyDescent="0.35">
      <c r="A37" s="38" t="s">
        <v>109</v>
      </c>
      <c r="B37" s="37">
        <v>2</v>
      </c>
      <c r="C37" s="39">
        <v>13669</v>
      </c>
      <c r="D37" s="39">
        <f>B37*C37</f>
        <v>27338</v>
      </c>
      <c r="E37" s="179"/>
      <c r="F37" t="s">
        <v>108</v>
      </c>
      <c r="G37" s="184">
        <v>0</v>
      </c>
      <c r="H37" s="184">
        <v>0</v>
      </c>
      <c r="I37" s="184">
        <v>0</v>
      </c>
      <c r="J37" s="183">
        <f>$C$37</f>
        <v>13669</v>
      </c>
      <c r="K37" s="184">
        <v>0</v>
      </c>
      <c r="L37" s="184">
        <v>0</v>
      </c>
      <c r="M37" s="184">
        <v>0</v>
      </c>
      <c r="N37" s="183">
        <f>C37</f>
        <v>13669</v>
      </c>
      <c r="O37" s="184">
        <v>0</v>
      </c>
      <c r="P37" s="184">
        <v>0</v>
      </c>
      <c r="Q37" s="184">
        <v>0</v>
      </c>
      <c r="R37" s="184">
        <v>0</v>
      </c>
    </row>
    <row r="38" spans="1:19" ht="17.25" customHeight="1" x14ac:dyDescent="0.35">
      <c r="A38" s="297" t="s">
        <v>110</v>
      </c>
      <c r="B38" s="221"/>
      <c r="C38" s="221"/>
      <c r="D38" s="227">
        <f>SUM(D34:D37)</f>
        <v>75128.733999999997</v>
      </c>
      <c r="E38" s="221"/>
      <c r="G38" s="298">
        <f t="shared" ref="G38:R38" si="10">SUM(G34:G37)</f>
        <v>12500</v>
      </c>
      <c r="H38" s="298">
        <f t="shared" si="10"/>
        <v>0</v>
      </c>
      <c r="I38" s="298">
        <f t="shared" si="10"/>
        <v>0</v>
      </c>
      <c r="J38" s="298">
        <f t="shared" si="10"/>
        <v>19961.754999999997</v>
      </c>
      <c r="K38" s="298">
        <f t="shared" si="10"/>
        <v>2517.1019999999999</v>
      </c>
      <c r="L38" s="298">
        <f t="shared" si="10"/>
        <v>2517.1019999999999</v>
      </c>
      <c r="M38" s="298">
        <f t="shared" si="10"/>
        <v>5017.1019999999999</v>
      </c>
      <c r="N38" s="298">
        <f t="shared" si="10"/>
        <v>22478.857</v>
      </c>
      <c r="O38" s="298">
        <f t="shared" si="10"/>
        <v>2517.1019999999999</v>
      </c>
      <c r="P38" s="298">
        <f t="shared" si="10"/>
        <v>2517.1019999999999</v>
      </c>
      <c r="Q38" s="298">
        <f t="shared" si="10"/>
        <v>2517.1019999999999</v>
      </c>
      <c r="R38" s="298">
        <f t="shared" si="10"/>
        <v>2517.1019999999999</v>
      </c>
    </row>
    <row r="39" spans="1:19" ht="17.25" customHeight="1" x14ac:dyDescent="0.35">
      <c r="A39" s="302"/>
      <c r="B39" s="304"/>
      <c r="C39" s="304"/>
      <c r="D39" s="314"/>
      <c r="E39" s="304"/>
      <c r="G39" s="303"/>
      <c r="H39" s="303"/>
      <c r="I39" s="303"/>
      <c r="J39" s="303"/>
      <c r="K39" s="303"/>
      <c r="L39" s="303"/>
      <c r="M39" s="303"/>
      <c r="N39" s="303"/>
      <c r="O39" s="303"/>
      <c r="P39" s="303"/>
      <c r="Q39" s="303"/>
      <c r="R39" s="303"/>
    </row>
    <row r="40" spans="1:19" ht="17.25" customHeight="1" x14ac:dyDescent="0.35">
      <c r="A40" s="302"/>
      <c r="B40" s="304"/>
      <c r="C40" s="304"/>
      <c r="D40" s="314"/>
      <c r="E40" s="304"/>
      <c r="G40" s="303"/>
      <c r="H40" s="303"/>
      <c r="I40" s="303"/>
      <c r="J40" s="303"/>
      <c r="K40" s="303"/>
      <c r="L40" s="303"/>
      <c r="M40" s="303"/>
      <c r="N40" s="303"/>
      <c r="O40" s="303"/>
      <c r="P40" s="303"/>
      <c r="Q40" s="303"/>
      <c r="R40" s="303"/>
    </row>
    <row r="41" spans="1:19" ht="17.25" customHeight="1" x14ac:dyDescent="0.35">
      <c r="A41" s="315" t="s">
        <v>487</v>
      </c>
      <c r="B41" s="316"/>
      <c r="C41" s="316"/>
      <c r="D41" s="316"/>
      <c r="E41" s="316"/>
    </row>
    <row r="42" spans="1:19" ht="17.25" customHeight="1" x14ac:dyDescent="0.35">
      <c r="A42" s="307" t="s">
        <v>488</v>
      </c>
      <c r="B42" s="308"/>
      <c r="C42" s="308"/>
      <c r="D42" s="308"/>
      <c r="E42" s="308"/>
      <c r="F42" s="308"/>
      <c r="G42" s="308"/>
      <c r="H42" s="308"/>
      <c r="I42" s="308"/>
      <c r="J42" s="308"/>
      <c r="K42" s="308"/>
      <c r="L42" s="308"/>
      <c r="M42" s="308"/>
      <c r="N42" s="308"/>
      <c r="O42" s="308"/>
      <c r="P42" s="308"/>
      <c r="Q42" s="308"/>
      <c r="R42" s="308"/>
    </row>
    <row r="43" spans="1:19" ht="17.25" customHeight="1" x14ac:dyDescent="0.35">
      <c r="A43" s="318" t="s">
        <v>39</v>
      </c>
      <c r="B43" s="317"/>
      <c r="C43" s="318" t="s">
        <v>73</v>
      </c>
      <c r="D43" s="318" t="s">
        <v>74</v>
      </c>
      <c r="E43" s="318" t="s">
        <v>75</v>
      </c>
      <c r="F43" s="318" t="s">
        <v>50</v>
      </c>
      <c r="G43" s="318" t="s">
        <v>51</v>
      </c>
      <c r="H43" s="318" t="s">
        <v>52</v>
      </c>
      <c r="I43" s="318" t="s">
        <v>53</v>
      </c>
      <c r="J43" s="318" t="s">
        <v>54</v>
      </c>
      <c r="K43" s="318" t="s">
        <v>55</v>
      </c>
      <c r="L43" s="318" t="s">
        <v>56</v>
      </c>
      <c r="M43" s="318" t="s">
        <v>57</v>
      </c>
      <c r="N43" s="318" t="s">
        <v>58</v>
      </c>
      <c r="O43" s="318" t="s">
        <v>59</v>
      </c>
      <c r="P43" s="318" t="s">
        <v>60</v>
      </c>
      <c r="Q43" s="318" t="s">
        <v>61</v>
      </c>
      <c r="R43" s="318" t="s">
        <v>62</v>
      </c>
    </row>
    <row r="44" spans="1:19" ht="17.25" customHeight="1" x14ac:dyDescent="0.35">
      <c r="A44" s="309" t="s">
        <v>489</v>
      </c>
      <c r="B44" s="305"/>
      <c r="C44" s="305" t="s">
        <v>63</v>
      </c>
      <c r="D44" s="310">
        <v>14400</v>
      </c>
      <c r="E44" s="305" t="s">
        <v>81</v>
      </c>
      <c r="F44" s="306" t="s">
        <v>68</v>
      </c>
      <c r="G44" s="310">
        <f>$D44/12</f>
        <v>1200</v>
      </c>
      <c r="H44" s="310">
        <f t="shared" ref="H44:R45" si="11">$D44/12</f>
        <v>1200</v>
      </c>
      <c r="I44" s="310">
        <f t="shared" si="11"/>
        <v>1200</v>
      </c>
      <c r="J44" s="310">
        <f t="shared" si="11"/>
        <v>1200</v>
      </c>
      <c r="K44" s="310">
        <f t="shared" si="11"/>
        <v>1200</v>
      </c>
      <c r="L44" s="310">
        <f t="shared" si="11"/>
        <v>1200</v>
      </c>
      <c r="M44" s="310">
        <f t="shared" si="11"/>
        <v>1200</v>
      </c>
      <c r="N44" s="310">
        <f t="shared" si="11"/>
        <v>1200</v>
      </c>
      <c r="O44" s="310">
        <f t="shared" si="11"/>
        <v>1200</v>
      </c>
      <c r="P44" s="310">
        <f t="shared" si="11"/>
        <v>1200</v>
      </c>
      <c r="Q44" s="310">
        <f t="shared" si="11"/>
        <v>1200</v>
      </c>
      <c r="R44" s="310">
        <f t="shared" si="11"/>
        <v>1200</v>
      </c>
    </row>
    <row r="45" spans="1:19" ht="17.25" customHeight="1" x14ac:dyDescent="0.35">
      <c r="A45" s="309" t="s">
        <v>490</v>
      </c>
      <c r="B45" s="305"/>
      <c r="C45" s="305" t="s">
        <v>69</v>
      </c>
      <c r="D45" s="310">
        <v>23500</v>
      </c>
      <c r="E45" s="305" t="s">
        <v>81</v>
      </c>
      <c r="F45" s="306" t="s">
        <v>68</v>
      </c>
      <c r="G45" s="310">
        <f>$D45/12</f>
        <v>1958.3333333333333</v>
      </c>
      <c r="H45" s="310">
        <f t="shared" si="11"/>
        <v>1958.3333333333333</v>
      </c>
      <c r="I45" s="310">
        <f t="shared" si="11"/>
        <v>1958.3333333333333</v>
      </c>
      <c r="J45" s="310">
        <f t="shared" si="11"/>
        <v>1958.3333333333333</v>
      </c>
      <c r="K45" s="310">
        <f t="shared" si="11"/>
        <v>1958.3333333333333</v>
      </c>
      <c r="L45" s="310">
        <f t="shared" si="11"/>
        <v>1958.3333333333333</v>
      </c>
      <c r="M45" s="310">
        <f t="shared" si="11"/>
        <v>1958.3333333333333</v>
      </c>
      <c r="N45" s="310">
        <f t="shared" si="11"/>
        <v>1958.3333333333333</v>
      </c>
      <c r="O45" s="310">
        <f t="shared" si="11"/>
        <v>1958.3333333333333</v>
      </c>
      <c r="P45" s="310">
        <f t="shared" si="11"/>
        <v>1958.3333333333333</v>
      </c>
      <c r="Q45" s="310">
        <f t="shared" si="11"/>
        <v>1958.3333333333333</v>
      </c>
      <c r="R45" s="310">
        <f t="shared" si="11"/>
        <v>1958.3333333333333</v>
      </c>
    </row>
    <row r="46" spans="1:19" ht="17.25" customHeight="1" x14ac:dyDescent="0.35">
      <c r="A46" s="309" t="s">
        <v>491</v>
      </c>
      <c r="B46" s="305"/>
      <c r="C46" s="305" t="s">
        <v>69</v>
      </c>
      <c r="D46" s="310">
        <v>14604</v>
      </c>
      <c r="E46" s="305" t="s">
        <v>81</v>
      </c>
      <c r="F46" s="306" t="s">
        <v>68</v>
      </c>
      <c r="G46" s="310">
        <f t="shared" ref="G46:R48" si="12">$D46/12</f>
        <v>1217</v>
      </c>
      <c r="H46" s="310">
        <f t="shared" si="12"/>
        <v>1217</v>
      </c>
      <c r="I46" s="310">
        <f t="shared" si="12"/>
        <v>1217</v>
      </c>
      <c r="J46" s="310">
        <f t="shared" si="12"/>
        <v>1217</v>
      </c>
      <c r="K46" s="310">
        <f t="shared" si="12"/>
        <v>1217</v>
      </c>
      <c r="L46" s="310">
        <f t="shared" si="12"/>
        <v>1217</v>
      </c>
      <c r="M46" s="310">
        <f t="shared" si="12"/>
        <v>1217</v>
      </c>
      <c r="N46" s="310">
        <f t="shared" si="12"/>
        <v>1217</v>
      </c>
      <c r="O46" s="310">
        <f t="shared" si="12"/>
        <v>1217</v>
      </c>
      <c r="P46" s="310">
        <f t="shared" si="12"/>
        <v>1217</v>
      </c>
      <c r="Q46" s="310">
        <f t="shared" si="12"/>
        <v>1217</v>
      </c>
      <c r="R46" s="310">
        <f t="shared" si="12"/>
        <v>1217</v>
      </c>
    </row>
    <row r="47" spans="1:19" ht="17.25" customHeight="1" x14ac:dyDescent="0.35">
      <c r="A47" s="309" t="s">
        <v>492</v>
      </c>
      <c r="B47" s="305"/>
      <c r="C47" s="305" t="s">
        <v>69</v>
      </c>
      <c r="D47" s="310">
        <v>34000</v>
      </c>
      <c r="E47" s="305" t="s">
        <v>81</v>
      </c>
      <c r="F47" s="306" t="s">
        <v>68</v>
      </c>
      <c r="G47" s="310">
        <f t="shared" si="12"/>
        <v>2833.3333333333335</v>
      </c>
      <c r="H47" s="310">
        <f t="shared" si="12"/>
        <v>2833.3333333333335</v>
      </c>
      <c r="I47" s="310">
        <f t="shared" si="12"/>
        <v>2833.3333333333335</v>
      </c>
      <c r="J47" s="310">
        <f t="shared" si="12"/>
        <v>2833.3333333333335</v>
      </c>
      <c r="K47" s="310">
        <f t="shared" si="12"/>
        <v>2833.3333333333335</v>
      </c>
      <c r="L47" s="310">
        <f t="shared" si="12"/>
        <v>2833.3333333333335</v>
      </c>
      <c r="M47" s="310">
        <f t="shared" si="12"/>
        <v>2833.3333333333335</v>
      </c>
      <c r="N47" s="310">
        <f t="shared" si="12"/>
        <v>2833.3333333333335</v>
      </c>
      <c r="O47" s="310">
        <f t="shared" si="12"/>
        <v>2833.3333333333335</v>
      </c>
      <c r="P47" s="310">
        <f t="shared" si="12"/>
        <v>2833.3333333333335</v>
      </c>
      <c r="Q47" s="310">
        <f t="shared" si="12"/>
        <v>2833.3333333333335</v>
      </c>
      <c r="R47" s="310">
        <f t="shared" si="12"/>
        <v>2833.3333333333335</v>
      </c>
    </row>
    <row r="48" spans="1:19" ht="17.25" customHeight="1" x14ac:dyDescent="0.35">
      <c r="A48" s="309" t="s">
        <v>493</v>
      </c>
      <c r="B48" s="305"/>
      <c r="C48" s="305" t="s">
        <v>494</v>
      </c>
      <c r="D48" s="310">
        <v>50000</v>
      </c>
      <c r="E48" s="305" t="s">
        <v>81</v>
      </c>
      <c r="F48" s="306" t="s">
        <v>68</v>
      </c>
      <c r="G48" s="310">
        <f t="shared" si="12"/>
        <v>4166.666666666667</v>
      </c>
      <c r="H48" s="310">
        <f t="shared" si="12"/>
        <v>4166.666666666667</v>
      </c>
      <c r="I48" s="310">
        <f t="shared" si="12"/>
        <v>4166.666666666667</v>
      </c>
      <c r="J48" s="310">
        <f t="shared" si="12"/>
        <v>4166.666666666667</v>
      </c>
      <c r="K48" s="310">
        <f t="shared" si="12"/>
        <v>4166.666666666667</v>
      </c>
      <c r="L48" s="310">
        <f t="shared" si="12"/>
        <v>4166.666666666667</v>
      </c>
      <c r="M48" s="310">
        <f t="shared" si="12"/>
        <v>4166.666666666667</v>
      </c>
      <c r="N48" s="310">
        <f t="shared" si="12"/>
        <v>4166.666666666667</v>
      </c>
      <c r="O48" s="310">
        <f t="shared" si="12"/>
        <v>4166.666666666667</v>
      </c>
      <c r="P48" s="310">
        <f t="shared" si="12"/>
        <v>4166.666666666667</v>
      </c>
      <c r="Q48" s="310">
        <f t="shared" si="12"/>
        <v>4166.666666666667</v>
      </c>
      <c r="R48" s="310">
        <f t="shared" si="12"/>
        <v>4166.666666666667</v>
      </c>
    </row>
    <row r="49" spans="1:18" ht="17.25" customHeight="1" x14ac:dyDescent="0.35">
      <c r="A49" s="311" t="s">
        <v>495</v>
      </c>
      <c r="B49" s="312"/>
      <c r="C49" s="312"/>
      <c r="D49" s="313">
        <f>SUM(D44:D48)</f>
        <v>136504</v>
      </c>
      <c r="E49" s="312"/>
      <c r="F49" s="312"/>
      <c r="G49" s="313">
        <f>SUM(G44:G48)</f>
        <v>11375.333333333332</v>
      </c>
      <c r="H49" s="313">
        <f t="shared" ref="H49:R49" si="13">SUM(H44:H48)</f>
        <v>11375.333333333332</v>
      </c>
      <c r="I49" s="313">
        <f t="shared" si="13"/>
        <v>11375.333333333332</v>
      </c>
      <c r="J49" s="313">
        <f t="shared" si="13"/>
        <v>11375.333333333332</v>
      </c>
      <c r="K49" s="313">
        <f t="shared" si="13"/>
        <v>11375.333333333332</v>
      </c>
      <c r="L49" s="313">
        <f t="shared" si="13"/>
        <v>11375.333333333332</v>
      </c>
      <c r="M49" s="313">
        <f t="shared" si="13"/>
        <v>11375.333333333332</v>
      </c>
      <c r="N49" s="313">
        <f t="shared" si="13"/>
        <v>11375.333333333332</v>
      </c>
      <c r="O49" s="313">
        <f t="shared" si="13"/>
        <v>11375.333333333332</v>
      </c>
      <c r="P49" s="313">
        <f t="shared" si="13"/>
        <v>11375.333333333332</v>
      </c>
      <c r="Q49" s="313">
        <f t="shared" si="13"/>
        <v>11375.333333333332</v>
      </c>
      <c r="R49" s="313">
        <f t="shared" si="13"/>
        <v>11375.333333333332</v>
      </c>
    </row>
    <row r="50" spans="1:18" ht="15" customHeight="1" x14ac:dyDescent="0.35">
      <c r="B50" s="176"/>
      <c r="C50" s="176"/>
      <c r="D50" s="176"/>
      <c r="E50" s="176"/>
    </row>
    <row r="51" spans="1:18" ht="15" customHeight="1" x14ac:dyDescent="0.35">
      <c r="A51" s="299" t="s">
        <v>111</v>
      </c>
      <c r="B51" s="300"/>
      <c r="C51" s="300"/>
      <c r="D51" s="301"/>
      <c r="E51" s="194"/>
      <c r="G51" s="50" t="s">
        <v>51</v>
      </c>
      <c r="H51" s="50" t="s">
        <v>52</v>
      </c>
      <c r="I51" s="50" t="s">
        <v>53</v>
      </c>
      <c r="J51" s="50" t="s">
        <v>54</v>
      </c>
      <c r="K51" s="50" t="s">
        <v>55</v>
      </c>
      <c r="L51" s="50" t="s">
        <v>56</v>
      </c>
      <c r="M51" s="50" t="s">
        <v>57</v>
      </c>
      <c r="N51" s="50" t="s">
        <v>58</v>
      </c>
      <c r="O51" s="50" t="s">
        <v>59</v>
      </c>
      <c r="P51" s="50" t="s">
        <v>60</v>
      </c>
      <c r="Q51" s="50" t="s">
        <v>61</v>
      </c>
      <c r="R51" s="50" t="s">
        <v>62</v>
      </c>
    </row>
    <row r="52" spans="1:18" ht="15" customHeight="1" x14ac:dyDescent="0.35">
      <c r="A52" s="38" t="s">
        <v>112</v>
      </c>
      <c r="B52" s="39"/>
      <c r="C52" s="37"/>
      <c r="D52" s="39">
        <f>D13</f>
        <v>83496</v>
      </c>
      <c r="E52" s="179"/>
      <c r="G52" s="186">
        <f>G13</f>
        <v>10907.666666666668</v>
      </c>
      <c r="H52" s="186">
        <f t="shared" ref="H52:R52" si="14">H13</f>
        <v>6341.666666666667</v>
      </c>
      <c r="I52" s="186">
        <f t="shared" si="14"/>
        <v>10907.666666666668</v>
      </c>
      <c r="J52" s="186">
        <f t="shared" si="14"/>
        <v>4341.666666666667</v>
      </c>
      <c r="K52" s="186">
        <f t="shared" si="14"/>
        <v>8907.6666666666679</v>
      </c>
      <c r="L52" s="186">
        <f t="shared" si="14"/>
        <v>4341.666666666667</v>
      </c>
      <c r="M52" s="186">
        <f t="shared" si="14"/>
        <v>7907.666666666667</v>
      </c>
      <c r="N52" s="186">
        <f t="shared" si="14"/>
        <v>3341.666666666667</v>
      </c>
      <c r="O52" s="186">
        <f t="shared" si="14"/>
        <v>8907.6666666666679</v>
      </c>
      <c r="P52" s="186">
        <f t="shared" si="14"/>
        <v>4341.666666666667</v>
      </c>
      <c r="Q52" s="186">
        <f t="shared" si="14"/>
        <v>8907.6666666666679</v>
      </c>
      <c r="R52" s="186">
        <f t="shared" si="14"/>
        <v>4341.666666666667</v>
      </c>
    </row>
    <row r="53" spans="1:18" ht="15" customHeight="1" x14ac:dyDescent="0.35">
      <c r="A53" s="38" t="s">
        <v>113</v>
      </c>
      <c r="B53" s="39"/>
      <c r="C53" s="37"/>
      <c r="D53" s="39">
        <f>D29</f>
        <v>50157.599999999999</v>
      </c>
      <c r="E53" s="179"/>
      <c r="G53" s="186">
        <f t="shared" ref="G53:R53" si="15">G29</f>
        <v>9057.2999999999993</v>
      </c>
      <c r="H53" s="186">
        <f t="shared" si="15"/>
        <v>3977.2999999999997</v>
      </c>
      <c r="I53" s="186">
        <f t="shared" si="15"/>
        <v>3407.2999999999997</v>
      </c>
      <c r="J53" s="186">
        <f t="shared" si="15"/>
        <v>4407.2999999999993</v>
      </c>
      <c r="K53" s="186">
        <f t="shared" si="15"/>
        <v>3407.2999999999997</v>
      </c>
      <c r="L53" s="186">
        <f t="shared" si="15"/>
        <v>3407.2999999999997</v>
      </c>
      <c r="M53" s="186">
        <f t="shared" si="15"/>
        <v>4407.2999999999993</v>
      </c>
      <c r="N53" s="186">
        <f t="shared" si="15"/>
        <v>3407.2999999999997</v>
      </c>
      <c r="O53" s="186">
        <f t="shared" si="15"/>
        <v>3407.2999999999997</v>
      </c>
      <c r="P53" s="186">
        <f t="shared" si="15"/>
        <v>4407.2999999999993</v>
      </c>
      <c r="Q53" s="186">
        <f t="shared" si="15"/>
        <v>3407.2999999999997</v>
      </c>
      <c r="R53" s="186">
        <f t="shared" si="15"/>
        <v>3457.2999999999997</v>
      </c>
    </row>
    <row r="54" spans="1:18" ht="15" customHeight="1" x14ac:dyDescent="0.35">
      <c r="A54" s="38" t="s">
        <v>114</v>
      </c>
      <c r="B54" s="39"/>
      <c r="C54" s="37"/>
      <c r="D54" s="39">
        <f>D38</f>
        <v>75128.733999999997</v>
      </c>
      <c r="E54" s="179"/>
      <c r="G54" s="186">
        <f t="shared" ref="G54:R54" si="16">G38</f>
        <v>12500</v>
      </c>
      <c r="H54" s="186">
        <f t="shared" si="16"/>
        <v>0</v>
      </c>
      <c r="I54" s="186">
        <f t="shared" si="16"/>
        <v>0</v>
      </c>
      <c r="J54" s="186">
        <f t="shared" si="16"/>
        <v>19961.754999999997</v>
      </c>
      <c r="K54" s="186">
        <f t="shared" si="16"/>
        <v>2517.1019999999999</v>
      </c>
      <c r="L54" s="186">
        <f t="shared" si="16"/>
        <v>2517.1019999999999</v>
      </c>
      <c r="M54" s="186">
        <f t="shared" si="16"/>
        <v>5017.1019999999999</v>
      </c>
      <c r="N54" s="186">
        <f t="shared" si="16"/>
        <v>22478.857</v>
      </c>
      <c r="O54" s="186">
        <f t="shared" si="16"/>
        <v>2517.1019999999999</v>
      </c>
      <c r="P54" s="186">
        <f t="shared" si="16"/>
        <v>2517.1019999999999</v>
      </c>
      <c r="Q54" s="186">
        <f t="shared" si="16"/>
        <v>2517.1019999999999</v>
      </c>
      <c r="R54" s="186">
        <f t="shared" si="16"/>
        <v>2517.1019999999999</v>
      </c>
    </row>
    <row r="55" spans="1:18" ht="15" customHeight="1" x14ac:dyDescent="0.35">
      <c r="A55" s="309" t="s">
        <v>496</v>
      </c>
      <c r="B55" s="305"/>
      <c r="C55" s="305"/>
      <c r="D55" s="310">
        <f>D49</f>
        <v>136504</v>
      </c>
      <c r="E55" s="305"/>
      <c r="F55" s="305"/>
      <c r="G55" s="310">
        <f>$D$55/12</f>
        <v>11375.333333333334</v>
      </c>
      <c r="H55" s="310">
        <f t="shared" ref="H55:R55" si="17">$D$55/12</f>
        <v>11375.333333333334</v>
      </c>
      <c r="I55" s="310">
        <f t="shared" si="17"/>
        <v>11375.333333333334</v>
      </c>
      <c r="J55" s="310">
        <f t="shared" si="17"/>
        <v>11375.333333333334</v>
      </c>
      <c r="K55" s="310">
        <f t="shared" si="17"/>
        <v>11375.333333333334</v>
      </c>
      <c r="L55" s="310">
        <f t="shared" si="17"/>
        <v>11375.333333333334</v>
      </c>
      <c r="M55" s="310">
        <f t="shared" si="17"/>
        <v>11375.333333333334</v>
      </c>
      <c r="N55" s="310">
        <f t="shared" si="17"/>
        <v>11375.333333333334</v>
      </c>
      <c r="O55" s="310">
        <f t="shared" si="17"/>
        <v>11375.333333333334</v>
      </c>
      <c r="P55" s="310">
        <f t="shared" si="17"/>
        <v>11375.333333333334</v>
      </c>
      <c r="Q55" s="310">
        <f t="shared" si="17"/>
        <v>11375.333333333334</v>
      </c>
      <c r="R55" s="310">
        <f t="shared" si="17"/>
        <v>11375.333333333334</v>
      </c>
    </row>
    <row r="56" spans="1:18" ht="15" customHeight="1" x14ac:dyDescent="0.35">
      <c r="A56" s="38"/>
      <c r="B56" s="37"/>
      <c r="C56" s="37"/>
      <c r="D56" s="37"/>
      <c r="E56" s="176"/>
      <c r="G56" s="160"/>
      <c r="H56" s="160"/>
      <c r="I56" s="160"/>
      <c r="J56" s="160"/>
      <c r="K56" s="160"/>
      <c r="L56" s="160"/>
      <c r="M56" s="160"/>
      <c r="N56" s="160"/>
      <c r="O56" s="160"/>
      <c r="P56" s="160"/>
      <c r="Q56" s="160"/>
      <c r="R56" s="160"/>
    </row>
    <row r="57" spans="1:18" ht="15" customHeight="1" x14ac:dyDescent="0.35">
      <c r="A57" s="1" t="s">
        <v>115</v>
      </c>
      <c r="B57" s="51"/>
      <c r="C57" s="51"/>
      <c r="D57" s="52">
        <f>SUM(D52:D54)</f>
        <v>208782.334</v>
      </c>
      <c r="E57" s="181"/>
      <c r="G57" s="187">
        <f t="shared" ref="G57:R57" si="18">G52+G53+G54</f>
        <v>32464.966666666667</v>
      </c>
      <c r="H57" s="187">
        <f t="shared" si="18"/>
        <v>10318.966666666667</v>
      </c>
      <c r="I57" s="187">
        <f t="shared" si="18"/>
        <v>14314.966666666667</v>
      </c>
      <c r="J57" s="187">
        <f t="shared" si="18"/>
        <v>28710.721666666665</v>
      </c>
      <c r="K57" s="187">
        <f t="shared" si="18"/>
        <v>14832.068666666666</v>
      </c>
      <c r="L57" s="187">
        <f t="shared" si="18"/>
        <v>10266.068666666666</v>
      </c>
      <c r="M57" s="187">
        <f t="shared" si="18"/>
        <v>17332.068666666666</v>
      </c>
      <c r="N57" s="187">
        <f t="shared" si="18"/>
        <v>29227.823666666667</v>
      </c>
      <c r="O57" s="187">
        <f t="shared" si="18"/>
        <v>14832.068666666666</v>
      </c>
      <c r="P57" s="187">
        <f t="shared" si="18"/>
        <v>11266.068666666666</v>
      </c>
      <c r="Q57" s="187">
        <f t="shared" si="18"/>
        <v>14832.068666666666</v>
      </c>
      <c r="R57" s="187">
        <f t="shared" si="18"/>
        <v>10316.068666666666</v>
      </c>
    </row>
    <row r="58" spans="1:18" s="122" customFormat="1" ht="15.5" x14ac:dyDescent="0.35">
      <c r="A58" s="319" t="s">
        <v>497</v>
      </c>
      <c r="B58" s="321"/>
      <c r="C58" s="321"/>
      <c r="D58" s="322">
        <f>SUM(D52:D55)</f>
        <v>345286.33400000003</v>
      </c>
      <c r="E58" s="322"/>
      <c r="F58" s="322"/>
      <c r="G58" s="322">
        <f>SUM(G52:G55)</f>
        <v>43840.3</v>
      </c>
      <c r="H58" s="322">
        <f t="shared" ref="H58:R58" si="19">SUM(H52:H55)</f>
        <v>21694.300000000003</v>
      </c>
      <c r="I58" s="322">
        <f t="shared" si="19"/>
        <v>25690.300000000003</v>
      </c>
      <c r="J58" s="322">
        <f t="shared" si="19"/>
        <v>40086.055</v>
      </c>
      <c r="K58" s="322">
        <f t="shared" si="19"/>
        <v>26207.402000000002</v>
      </c>
      <c r="L58" s="322">
        <f t="shared" si="19"/>
        <v>21641.402000000002</v>
      </c>
      <c r="M58" s="322">
        <f t="shared" si="19"/>
        <v>28707.402000000002</v>
      </c>
      <c r="N58" s="322">
        <f t="shared" si="19"/>
        <v>40603.156999999999</v>
      </c>
      <c r="O58" s="322">
        <f t="shared" si="19"/>
        <v>26207.402000000002</v>
      </c>
      <c r="P58" s="322">
        <f t="shared" si="19"/>
        <v>22641.402000000002</v>
      </c>
      <c r="Q58" s="322">
        <f t="shared" si="19"/>
        <v>26207.402000000002</v>
      </c>
      <c r="R58" s="322">
        <f t="shared" si="19"/>
        <v>21691.402000000002</v>
      </c>
    </row>
    <row r="66" spans="5:5" x14ac:dyDescent="0.35">
      <c r="E66" s="320"/>
    </row>
  </sheetData>
  <mergeCells count="5">
    <mergeCell ref="A1:D1"/>
    <mergeCell ref="A5:D5"/>
    <mergeCell ref="A6:D6"/>
    <mergeCell ref="A15:D15"/>
    <mergeCell ref="A32:D3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C28"/>
  <sheetViews>
    <sheetView zoomScaleNormal="100" workbookViewId="0">
      <selection activeCell="E10" sqref="E10"/>
    </sheetView>
  </sheetViews>
  <sheetFormatPr baseColWidth="10" defaultColWidth="8.6328125" defaultRowHeight="14.5" x14ac:dyDescent="0.35"/>
  <cols>
    <col min="1" max="1" width="40" customWidth="1"/>
    <col min="2" max="2" width="30.36328125" bestFit="1" customWidth="1"/>
    <col min="3" max="3" width="18" customWidth="1"/>
  </cols>
  <sheetData>
    <row r="1" spans="1:3" ht="19.5" customHeight="1" x14ac:dyDescent="0.4">
      <c r="A1" s="399" t="s">
        <v>157</v>
      </c>
      <c r="B1" s="399"/>
      <c r="C1" s="399"/>
    </row>
    <row r="2" spans="1:3" ht="15" customHeight="1" x14ac:dyDescent="0.35">
      <c r="A2" s="41" t="s">
        <v>158</v>
      </c>
    </row>
    <row r="4" spans="1:3" ht="17.25" customHeight="1" x14ac:dyDescent="0.35">
      <c r="A4" s="403" t="s">
        <v>159</v>
      </c>
      <c r="B4" s="403"/>
      <c r="C4" s="403"/>
    </row>
    <row r="5" spans="1:3" ht="15" customHeight="1" x14ac:dyDescent="0.35">
      <c r="A5" s="57" t="s">
        <v>39</v>
      </c>
      <c r="B5" s="57" t="s">
        <v>160</v>
      </c>
      <c r="C5" s="57" t="s">
        <v>161</v>
      </c>
    </row>
    <row r="6" spans="1:3" ht="15" customHeight="1" x14ac:dyDescent="0.35">
      <c r="A6" s="53"/>
      <c r="B6" s="64"/>
      <c r="C6" s="65"/>
    </row>
    <row r="7" spans="1:3" ht="15" customHeight="1" x14ac:dyDescent="0.35">
      <c r="A7" s="296" t="s">
        <v>478</v>
      </c>
      <c r="B7" s="64" t="s">
        <v>479</v>
      </c>
      <c r="C7" s="65">
        <v>0.25</v>
      </c>
    </row>
    <row r="8" spans="1:3" ht="15" customHeight="1" x14ac:dyDescent="0.35">
      <c r="A8" s="53" t="s">
        <v>142</v>
      </c>
      <c r="B8" s="64" t="s">
        <v>419</v>
      </c>
      <c r="C8" s="65">
        <v>8.0000000000000002E-3</v>
      </c>
    </row>
    <row r="9" spans="1:3" ht="15" customHeight="1" x14ac:dyDescent="0.35">
      <c r="A9" s="38"/>
      <c r="B9" s="38"/>
      <c r="C9" s="38"/>
    </row>
    <row r="10" spans="1:3" ht="15" customHeight="1" x14ac:dyDescent="0.35">
      <c r="A10" s="414"/>
      <c r="B10" s="414"/>
      <c r="C10" s="414"/>
    </row>
    <row r="12" spans="1:3" ht="14.25" customHeight="1" x14ac:dyDescent="0.35">
      <c r="A12" s="194" t="s">
        <v>424</v>
      </c>
      <c r="B12" s="194"/>
      <c r="C12" s="194"/>
    </row>
    <row r="13" spans="1:3" ht="14.25" customHeight="1" x14ac:dyDescent="0.35">
      <c r="A13" t="s">
        <v>163</v>
      </c>
      <c r="B13" t="s">
        <v>164</v>
      </c>
      <c r="C13" s="192">
        <v>40.57</v>
      </c>
    </row>
    <row r="14" spans="1:3" ht="14.25" customHeight="1" x14ac:dyDescent="0.35">
      <c r="A14" t="s">
        <v>420</v>
      </c>
      <c r="B14" t="s">
        <v>164</v>
      </c>
      <c r="C14" s="192">
        <v>18.88</v>
      </c>
    </row>
    <row r="15" spans="1:3" ht="14.25" customHeight="1" x14ac:dyDescent="0.35">
      <c r="C15" s="192"/>
    </row>
    <row r="16" spans="1:3" ht="14.25" customHeight="1" x14ac:dyDescent="0.35">
      <c r="A16" s="194" t="s">
        <v>422</v>
      </c>
      <c r="B16" s="194"/>
      <c r="C16" s="195"/>
    </row>
    <row r="17" spans="1:3" ht="14.25" customHeight="1" x14ac:dyDescent="0.35">
      <c r="A17" t="s">
        <v>423</v>
      </c>
      <c r="B17" t="s">
        <v>164</v>
      </c>
      <c r="C17" s="192">
        <v>6.47</v>
      </c>
    </row>
    <row r="18" spans="1:3" ht="14.25" customHeight="1" x14ac:dyDescent="0.35">
      <c r="C18" s="192"/>
    </row>
    <row r="19" spans="1:3" ht="14.25" customHeight="1" x14ac:dyDescent="0.35">
      <c r="A19" s="194" t="s">
        <v>421</v>
      </c>
      <c r="B19" s="194"/>
      <c r="C19" s="195"/>
    </row>
    <row r="20" spans="1:3" ht="14.25" customHeight="1" x14ac:dyDescent="0.35">
      <c r="A20" t="s">
        <v>165</v>
      </c>
      <c r="B20" t="s">
        <v>166</v>
      </c>
      <c r="C20" s="191">
        <v>2.7E-2</v>
      </c>
    </row>
    <row r="21" spans="1:3" ht="14.25" customHeight="1" x14ac:dyDescent="0.35">
      <c r="A21" t="s">
        <v>167</v>
      </c>
      <c r="B21" t="s">
        <v>166</v>
      </c>
      <c r="C21" s="191">
        <v>0.02</v>
      </c>
    </row>
    <row r="23" spans="1:3" x14ac:dyDescent="0.35">
      <c r="A23" s="194" t="s">
        <v>428</v>
      </c>
      <c r="B23" s="194"/>
      <c r="C23" s="194"/>
    </row>
    <row r="24" spans="1:3" x14ac:dyDescent="0.35">
      <c r="A24" t="s">
        <v>429</v>
      </c>
      <c r="C24" s="190">
        <v>1.4999999999999999E-2</v>
      </c>
    </row>
    <row r="25" spans="1:3" x14ac:dyDescent="0.35">
      <c r="A25" t="s">
        <v>430</v>
      </c>
      <c r="C25" s="190">
        <v>1.0999999999999999E-2</v>
      </c>
    </row>
    <row r="27" spans="1:3" x14ac:dyDescent="0.35">
      <c r="A27" s="194" t="s">
        <v>436</v>
      </c>
      <c r="B27" s="193"/>
      <c r="C27" s="193"/>
    </row>
    <row r="28" spans="1:3" x14ac:dyDescent="0.35">
      <c r="A28" t="s">
        <v>437</v>
      </c>
      <c r="C28" s="189">
        <v>0.19</v>
      </c>
    </row>
  </sheetData>
  <mergeCells count="3">
    <mergeCell ref="A1:C1"/>
    <mergeCell ref="A4:C4"/>
    <mergeCell ref="A10:C10"/>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F59"/>
  <sheetViews>
    <sheetView topLeftCell="A23" zoomScale="90" zoomScaleNormal="90" workbookViewId="0">
      <selection activeCell="F45" sqref="F45"/>
    </sheetView>
  </sheetViews>
  <sheetFormatPr baseColWidth="10" defaultColWidth="8.6328125" defaultRowHeight="14.5" x14ac:dyDescent="0.35"/>
  <cols>
    <col min="1" max="1" width="72.54296875" customWidth="1"/>
    <col min="2" max="2" width="18" customWidth="1"/>
    <col min="3" max="3" width="20" customWidth="1"/>
    <col min="4" max="4" width="18" customWidth="1"/>
    <col min="6" max="6" width="43" customWidth="1"/>
    <col min="7" max="7" width="19.90625" bestFit="1" customWidth="1"/>
    <col min="8" max="8" width="15.453125" bestFit="1" customWidth="1"/>
    <col min="9" max="9" width="26.6328125" customWidth="1"/>
  </cols>
  <sheetData>
    <row r="1" spans="1:4" ht="19.5" customHeight="1" x14ac:dyDescent="0.4">
      <c r="A1" s="399" t="s">
        <v>116</v>
      </c>
      <c r="B1" s="399"/>
      <c r="C1" s="399"/>
      <c r="D1" s="399"/>
    </row>
    <row r="3" spans="1:4" ht="17.25" customHeight="1" x14ac:dyDescent="0.35">
      <c r="A3" s="403" t="s">
        <v>117</v>
      </c>
      <c r="B3" s="403"/>
      <c r="C3" s="403"/>
      <c r="D3" s="403"/>
    </row>
    <row r="4" spans="1:4" ht="15" customHeight="1" x14ac:dyDescent="0.35">
      <c r="A4" s="53" t="s">
        <v>118</v>
      </c>
      <c r="B4" s="54">
        <v>189000</v>
      </c>
      <c r="C4" s="38"/>
      <c r="D4" s="38"/>
    </row>
    <row r="5" spans="1:4" ht="15" customHeight="1" x14ac:dyDescent="0.35">
      <c r="A5" s="53" t="s">
        <v>29</v>
      </c>
      <c r="B5" s="55">
        <v>4</v>
      </c>
      <c r="C5" s="38" t="s">
        <v>119</v>
      </c>
      <c r="D5" s="38"/>
    </row>
    <row r="6" spans="1:4" ht="15" customHeight="1" x14ac:dyDescent="0.35">
      <c r="A6" s="53" t="s">
        <v>120</v>
      </c>
      <c r="B6" s="56">
        <v>4.4999999999999998E-2</v>
      </c>
      <c r="C6" s="38"/>
      <c r="D6" s="38"/>
    </row>
    <row r="7" spans="1:4" ht="15" customHeight="1" x14ac:dyDescent="0.35">
      <c r="A7" s="53" t="s">
        <v>121</v>
      </c>
      <c r="B7" s="56">
        <v>3.5999999999999999E-3</v>
      </c>
      <c r="C7" s="38"/>
      <c r="D7" s="38"/>
    </row>
    <row r="8" spans="1:4" ht="15" customHeight="1" x14ac:dyDescent="0.35">
      <c r="A8" s="38"/>
      <c r="B8" s="38"/>
      <c r="C8" s="38"/>
      <c r="D8" s="38"/>
    </row>
    <row r="9" spans="1:4" ht="17.25" customHeight="1" x14ac:dyDescent="0.35">
      <c r="A9" s="403" t="s">
        <v>122</v>
      </c>
      <c r="B9" s="403"/>
      <c r="C9" s="403"/>
      <c r="D9" s="403"/>
    </row>
    <row r="10" spans="1:4" ht="15" customHeight="1" x14ac:dyDescent="0.35">
      <c r="A10" s="57" t="s">
        <v>123</v>
      </c>
      <c r="B10" s="57" t="s">
        <v>124</v>
      </c>
      <c r="C10" s="57" t="s">
        <v>125</v>
      </c>
      <c r="D10" s="57" t="s">
        <v>126</v>
      </c>
    </row>
    <row r="11" spans="1:4" ht="15" customHeight="1" x14ac:dyDescent="0.35">
      <c r="A11" s="38" t="s">
        <v>127</v>
      </c>
      <c r="B11" s="58">
        <f>SUM('Emprunt Mensualité'!E27:F27)</f>
        <v>51718.309999999983</v>
      </c>
      <c r="C11" s="58">
        <f>'Emprunt Mensualité'!G27</f>
        <v>680.40000000000009</v>
      </c>
      <c r="D11" s="59">
        <f>B11+C11</f>
        <v>52398.709999999985</v>
      </c>
    </row>
    <row r="12" spans="1:4" ht="15" customHeight="1" x14ac:dyDescent="0.35">
      <c r="A12" s="38"/>
      <c r="B12" s="38"/>
      <c r="C12" s="38"/>
      <c r="D12" s="38"/>
    </row>
    <row r="13" spans="1:4" ht="17.25" customHeight="1" x14ac:dyDescent="0.35">
      <c r="A13" s="403" t="s">
        <v>128</v>
      </c>
      <c r="B13" s="403"/>
      <c r="C13" s="403"/>
      <c r="D13" s="403"/>
    </row>
    <row r="14" spans="1:4" ht="15" customHeight="1" x14ac:dyDescent="0.35">
      <c r="A14" s="53" t="s">
        <v>129</v>
      </c>
      <c r="B14" s="54">
        <f>B27</f>
        <v>4367</v>
      </c>
      <c r="C14" s="38"/>
      <c r="D14" s="38"/>
    </row>
    <row r="15" spans="1:4" ht="15" customHeight="1" x14ac:dyDescent="0.35">
      <c r="A15" s="53" t="s">
        <v>130</v>
      </c>
      <c r="B15" s="54">
        <f>'Emprunt Mensualité'!H63</f>
        <v>209594.87999999998</v>
      </c>
      <c r="C15" s="38"/>
      <c r="D15" s="38"/>
    </row>
    <row r="16" spans="1:4" ht="15" customHeight="1" x14ac:dyDescent="0.35">
      <c r="A16" s="53" t="s">
        <v>131</v>
      </c>
      <c r="B16" s="204">
        <f>'Emprunt Mensualité'!F63</f>
        <v>17873.239999999998</v>
      </c>
      <c r="C16" s="38"/>
      <c r="D16" s="38"/>
    </row>
    <row r="17" spans="1:4" ht="15" customHeight="1" x14ac:dyDescent="0.35">
      <c r="A17" s="53" t="s">
        <v>132</v>
      </c>
      <c r="B17" s="54">
        <f>'Emprunt Mensualité'!G63</f>
        <v>2721.6000000000004</v>
      </c>
      <c r="C17" s="38"/>
      <c r="D17" s="38"/>
    </row>
    <row r="18" spans="1:4" ht="15" customHeight="1" x14ac:dyDescent="0.35">
      <c r="A18" s="38"/>
      <c r="B18" s="38"/>
      <c r="C18" s="38"/>
      <c r="D18" s="38"/>
    </row>
    <row r="19" spans="1:4" ht="15" customHeight="1" x14ac:dyDescent="0.35">
      <c r="A19" s="404" t="s">
        <v>133</v>
      </c>
      <c r="B19" s="404"/>
      <c r="C19" s="404"/>
      <c r="D19" s="404"/>
    </row>
    <row r="20" spans="1:4" ht="17.25" customHeight="1" x14ac:dyDescent="0.35">
      <c r="A20" s="60" t="s">
        <v>134</v>
      </c>
      <c r="B20" s="61">
        <f>D11</f>
        <v>52398.709999999985</v>
      </c>
      <c r="C20" s="38"/>
      <c r="D20" s="38"/>
    </row>
    <row r="24" spans="1:4" ht="15" customHeight="1" x14ac:dyDescent="0.35">
      <c r="A24" s="196" t="s">
        <v>135</v>
      </c>
      <c r="B24" s="194"/>
      <c r="C24" s="194"/>
      <c r="D24" s="194"/>
    </row>
    <row r="25" spans="1:4" ht="15" customHeight="1" x14ac:dyDescent="0.35">
      <c r="A25" t="s">
        <v>136</v>
      </c>
      <c r="B25" s="62">
        <v>4310</v>
      </c>
    </row>
    <row r="26" spans="1:4" ht="15" customHeight="1" x14ac:dyDescent="0.35">
      <c r="A26" t="s">
        <v>137</v>
      </c>
      <c r="B26" s="62">
        <f>ROUND(B4*B7/12,0)</f>
        <v>57</v>
      </c>
    </row>
    <row r="27" spans="1:4" ht="15" customHeight="1" x14ac:dyDescent="0.35">
      <c r="A27" s="197" t="s">
        <v>138</v>
      </c>
      <c r="B27" s="198">
        <f>B25+B26</f>
        <v>4367</v>
      </c>
      <c r="C27" s="199"/>
      <c r="D27" s="199"/>
    </row>
    <row r="29" spans="1:4" ht="15" customHeight="1" x14ac:dyDescent="0.35"/>
    <row r="30" spans="1:4" ht="15" customHeight="1" x14ac:dyDescent="0.35">
      <c r="A30" s="205" t="s">
        <v>139</v>
      </c>
    </row>
    <row r="31" spans="1:4" x14ac:dyDescent="0.35">
      <c r="A31" s="203" t="s">
        <v>140</v>
      </c>
      <c r="B31" s="203" t="s">
        <v>141</v>
      </c>
      <c r="C31" s="203" t="s">
        <v>142</v>
      </c>
      <c r="D31" s="203" t="s">
        <v>143</v>
      </c>
    </row>
    <row r="32" spans="1:4" ht="14.25" customHeight="1" x14ac:dyDescent="0.35">
      <c r="A32" s="207" t="s">
        <v>153</v>
      </c>
      <c r="B32" s="228">
        <v>5289.03</v>
      </c>
      <c r="C32" s="228">
        <v>453.6</v>
      </c>
      <c r="D32" s="228">
        <v>5742.63</v>
      </c>
    </row>
    <row r="33" spans="1:6" ht="14.25" customHeight="1" x14ac:dyDescent="0.35">
      <c r="A33" s="207" t="s">
        <v>154</v>
      </c>
      <c r="B33" s="228">
        <v>6261.51</v>
      </c>
      <c r="C33" s="228">
        <v>680.4</v>
      </c>
      <c r="D33" s="228">
        <v>6941.91</v>
      </c>
    </row>
    <row r="34" spans="1:6" ht="14.25" customHeight="1" x14ac:dyDescent="0.35">
      <c r="A34" s="207" t="s">
        <v>155</v>
      </c>
      <c r="B34" s="228">
        <v>4173.24</v>
      </c>
      <c r="C34" s="228">
        <v>680.4</v>
      </c>
      <c r="D34" s="228">
        <v>4853.6400000000003</v>
      </c>
    </row>
    <row r="35" spans="1:6" ht="14.25" customHeight="1" x14ac:dyDescent="0.35">
      <c r="A35" s="207" t="s">
        <v>156</v>
      </c>
      <c r="B35" s="228">
        <v>1989.02</v>
      </c>
      <c r="C35" s="228">
        <v>680.4</v>
      </c>
      <c r="D35" s="228">
        <v>2669.42</v>
      </c>
    </row>
    <row r="36" spans="1:6" ht="14.25" customHeight="1" x14ac:dyDescent="0.35">
      <c r="A36" s="207" t="s">
        <v>352</v>
      </c>
      <c r="B36" s="228">
        <v>160.41999999999999</v>
      </c>
      <c r="C36" s="228">
        <v>226.8</v>
      </c>
      <c r="D36" s="228">
        <v>387.22</v>
      </c>
    </row>
    <row r="37" spans="1:6" ht="14.25" customHeight="1" x14ac:dyDescent="0.35">
      <c r="A37" s="206" t="s">
        <v>144</v>
      </c>
      <c r="B37" s="228">
        <f>SUM(B32:B36)</f>
        <v>17873.219999999998</v>
      </c>
      <c r="C37" s="228">
        <f>SUM(C32:C36)</f>
        <v>2721.6000000000004</v>
      </c>
      <c r="D37" s="228">
        <f>SUM(D32:D36)</f>
        <v>20594.82</v>
      </c>
    </row>
    <row r="38" spans="1:6" ht="14.25" customHeight="1" x14ac:dyDescent="0.35">
      <c r="A38" s="217" t="s">
        <v>145</v>
      </c>
    </row>
    <row r="39" spans="1:6" ht="14.25" customHeight="1" x14ac:dyDescent="0.35">
      <c r="A39" s="217" t="s">
        <v>146</v>
      </c>
    </row>
    <row r="41" spans="1:6" ht="14.25" customHeight="1" x14ac:dyDescent="0.35">
      <c r="F41" s="209"/>
    </row>
    <row r="42" spans="1:6" ht="14.25" customHeight="1" x14ac:dyDescent="0.35">
      <c r="A42" t="s">
        <v>147</v>
      </c>
      <c r="F42" s="209"/>
    </row>
    <row r="43" spans="1:6" x14ac:dyDescent="0.35">
      <c r="A43" s="201" t="s">
        <v>148</v>
      </c>
      <c r="B43" s="201"/>
      <c r="C43" s="201"/>
      <c r="D43" s="201"/>
    </row>
    <row r="44" spans="1:6" x14ac:dyDescent="0.35">
      <c r="A44" s="203" t="s">
        <v>149</v>
      </c>
      <c r="B44" s="203" t="s">
        <v>150</v>
      </c>
      <c r="C44" s="203" t="s">
        <v>151</v>
      </c>
      <c r="D44" s="203" t="s">
        <v>152</v>
      </c>
    </row>
    <row r="45" spans="1:6" ht="14.25" customHeight="1" x14ac:dyDescent="0.35">
      <c r="A45" s="477">
        <v>2025</v>
      </c>
      <c r="B45" s="204"/>
      <c r="C45" s="204"/>
      <c r="D45" s="202"/>
    </row>
    <row r="46" spans="1:6" ht="14.25" customHeight="1" x14ac:dyDescent="0.35">
      <c r="A46" s="207" t="s">
        <v>418</v>
      </c>
      <c r="B46" s="228">
        <v>29190</v>
      </c>
      <c r="C46" s="228">
        <v>5289</v>
      </c>
      <c r="D46" s="228">
        <v>189000</v>
      </c>
    </row>
    <row r="47" spans="1:6" x14ac:dyDescent="0.35">
      <c r="A47" s="207" t="s">
        <v>154</v>
      </c>
      <c r="B47" s="228">
        <v>45457</v>
      </c>
      <c r="C47" s="228">
        <v>6262</v>
      </c>
      <c r="D47" s="228">
        <v>159810</v>
      </c>
    </row>
    <row r="48" spans="1:6" ht="14.25" customHeight="1" x14ac:dyDescent="0.35">
      <c r="A48" s="207" t="s">
        <v>155</v>
      </c>
      <c r="B48" s="228">
        <v>47545</v>
      </c>
      <c r="C48" s="228">
        <v>4173</v>
      </c>
      <c r="D48" s="228">
        <v>114353</v>
      </c>
    </row>
    <row r="49" spans="1:4" ht="14.25" customHeight="1" x14ac:dyDescent="0.35">
      <c r="A49" s="207" t="s">
        <v>156</v>
      </c>
      <c r="B49" s="228">
        <v>49729</v>
      </c>
      <c r="C49" s="228">
        <v>1989</v>
      </c>
      <c r="D49" s="228">
        <v>66808</v>
      </c>
    </row>
    <row r="50" spans="1:4" ht="14.25" customHeight="1" x14ac:dyDescent="0.35">
      <c r="A50" s="207" t="s">
        <v>352</v>
      </c>
      <c r="B50" s="228">
        <v>17079</v>
      </c>
      <c r="C50" s="228">
        <v>160</v>
      </c>
      <c r="D50" s="228">
        <v>17079</v>
      </c>
    </row>
    <row r="51" spans="1:4" ht="14.25" customHeight="1" x14ac:dyDescent="0.35">
      <c r="A51" s="206" t="s">
        <v>17</v>
      </c>
      <c r="B51" s="228">
        <v>189000</v>
      </c>
      <c r="C51" s="228">
        <v>17873</v>
      </c>
      <c r="D51" s="228"/>
    </row>
    <row r="52" spans="1:4" ht="14.25" customHeight="1" x14ac:dyDescent="0.35"/>
    <row r="53" spans="1:4" ht="14.25" customHeight="1" x14ac:dyDescent="0.35">
      <c r="A53" s="210" t="s">
        <v>431</v>
      </c>
    </row>
    <row r="54" spans="1:4" ht="14.25" customHeight="1" x14ac:dyDescent="0.35">
      <c r="A54" s="209" t="s">
        <v>432</v>
      </c>
    </row>
    <row r="55" spans="1:4" x14ac:dyDescent="0.35">
      <c r="A55" s="209" t="s">
        <v>433</v>
      </c>
    </row>
    <row r="56" spans="1:4" ht="14.25" customHeight="1" x14ac:dyDescent="0.35">
      <c r="A56" s="209" t="s">
        <v>434</v>
      </c>
    </row>
    <row r="57" spans="1:4" ht="14.25" customHeight="1" x14ac:dyDescent="0.35"/>
    <row r="58" spans="1:4" ht="14.25" customHeight="1" x14ac:dyDescent="0.35"/>
    <row r="59" spans="1:4" ht="14.25" customHeight="1" x14ac:dyDescent="0.35"/>
  </sheetData>
  <mergeCells count="5">
    <mergeCell ref="A1:D1"/>
    <mergeCell ref="A3:D3"/>
    <mergeCell ref="A9:D9"/>
    <mergeCell ref="A13:D13"/>
    <mergeCell ref="A19:D19"/>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3803-FA6E-45A6-ACB2-4EF23EA48BA3}">
  <sheetPr>
    <tabColor rgb="FF92D050"/>
  </sheetPr>
  <dimension ref="A1:J63"/>
  <sheetViews>
    <sheetView workbookViewId="0">
      <selection activeCell="J28" sqref="J28"/>
    </sheetView>
  </sheetViews>
  <sheetFormatPr baseColWidth="10" defaultRowHeight="14.5" x14ac:dyDescent="0.35"/>
  <cols>
    <col min="4" max="4" width="11.453125" bestFit="1" customWidth="1"/>
    <col min="5" max="5" width="12.453125" bestFit="1" customWidth="1"/>
    <col min="6" max="6" width="11.36328125" bestFit="1" customWidth="1"/>
    <col min="8" max="8" width="15.453125" bestFit="1" customWidth="1"/>
    <col min="9" max="9" width="11.453125" bestFit="1" customWidth="1"/>
  </cols>
  <sheetData>
    <row r="1" spans="1:9" ht="18" x14ac:dyDescent="0.4">
      <c r="A1" s="407" t="s">
        <v>448</v>
      </c>
      <c r="B1" s="407"/>
      <c r="C1" s="407"/>
      <c r="D1" s="407"/>
      <c r="E1" s="407"/>
      <c r="F1" s="407"/>
      <c r="G1" s="407"/>
      <c r="H1" s="407"/>
      <c r="I1" s="407"/>
    </row>
    <row r="2" spans="1:9" x14ac:dyDescent="0.35">
      <c r="A2" s="408" t="s">
        <v>449</v>
      </c>
      <c r="B2" s="408"/>
      <c r="C2" s="408"/>
      <c r="D2" s="408"/>
      <c r="E2" s="408"/>
      <c r="F2" s="408"/>
      <c r="G2" s="408"/>
      <c r="H2" s="408"/>
      <c r="I2" s="408"/>
    </row>
    <row r="4" spans="1:9" x14ac:dyDescent="0.35">
      <c r="A4" s="211" t="s">
        <v>450</v>
      </c>
      <c r="B4" s="211" t="s">
        <v>451</v>
      </c>
      <c r="C4" s="211" t="s">
        <v>140</v>
      </c>
      <c r="D4" s="211" t="s">
        <v>452</v>
      </c>
      <c r="E4" s="211" t="s">
        <v>453</v>
      </c>
      <c r="F4" s="211" t="s">
        <v>141</v>
      </c>
      <c r="G4" s="211" t="s">
        <v>142</v>
      </c>
      <c r="H4" s="211" t="s">
        <v>129</v>
      </c>
      <c r="I4" s="211" t="s">
        <v>454</v>
      </c>
    </row>
    <row r="5" spans="1:9" x14ac:dyDescent="0.35">
      <c r="A5" s="207">
        <v>1</v>
      </c>
      <c r="B5" s="202" t="s">
        <v>55</v>
      </c>
      <c r="C5" s="207" t="s">
        <v>153</v>
      </c>
      <c r="D5" s="208">
        <v>189000</v>
      </c>
      <c r="E5" s="208">
        <v>3601.11</v>
      </c>
      <c r="F5" s="208">
        <v>708.75</v>
      </c>
      <c r="G5" s="208">
        <v>56.7</v>
      </c>
      <c r="H5" s="208">
        <v>4366.5600000000004</v>
      </c>
      <c r="I5" s="208">
        <v>185398.89</v>
      </c>
    </row>
    <row r="6" spans="1:9" x14ac:dyDescent="0.35">
      <c r="A6" s="207">
        <v>2</v>
      </c>
      <c r="B6" s="202" t="s">
        <v>56</v>
      </c>
      <c r="C6" s="207" t="s">
        <v>153</v>
      </c>
      <c r="D6" s="208">
        <v>185398.89</v>
      </c>
      <c r="E6" s="208">
        <v>3614.61</v>
      </c>
      <c r="F6" s="208">
        <v>695.25</v>
      </c>
      <c r="G6" s="208">
        <v>56.7</v>
      </c>
      <c r="H6" s="208">
        <v>4366.5600000000004</v>
      </c>
      <c r="I6" s="208">
        <v>181784.28</v>
      </c>
    </row>
    <row r="7" spans="1:9" x14ac:dyDescent="0.35">
      <c r="A7" s="207">
        <v>3</v>
      </c>
      <c r="B7" s="202" t="s">
        <v>57</v>
      </c>
      <c r="C7" s="207" t="s">
        <v>153</v>
      </c>
      <c r="D7" s="208">
        <v>181784.28</v>
      </c>
      <c r="E7" s="208">
        <v>3628.17</v>
      </c>
      <c r="F7" s="208">
        <v>681.69</v>
      </c>
      <c r="G7" s="208">
        <v>56.7</v>
      </c>
      <c r="H7" s="208">
        <v>4366.5600000000004</v>
      </c>
      <c r="I7" s="208">
        <v>178156.11</v>
      </c>
    </row>
    <row r="8" spans="1:9" x14ac:dyDescent="0.35">
      <c r="A8" s="207">
        <v>4</v>
      </c>
      <c r="B8" s="202" t="s">
        <v>58</v>
      </c>
      <c r="C8" s="207" t="s">
        <v>153</v>
      </c>
      <c r="D8" s="208">
        <v>178156.11</v>
      </c>
      <c r="E8" s="208">
        <v>3641.77</v>
      </c>
      <c r="F8" s="208">
        <v>668.09</v>
      </c>
      <c r="G8" s="208">
        <v>56.7</v>
      </c>
      <c r="H8" s="208">
        <v>4366.5600000000004</v>
      </c>
      <c r="I8" s="208">
        <v>174514.34</v>
      </c>
    </row>
    <row r="9" spans="1:9" x14ac:dyDescent="0.35">
      <c r="A9" s="207">
        <v>5</v>
      </c>
      <c r="B9" s="202" t="s">
        <v>59</v>
      </c>
      <c r="C9" s="207" t="s">
        <v>153</v>
      </c>
      <c r="D9" s="208">
        <v>174514.34</v>
      </c>
      <c r="E9" s="208">
        <v>3655.43</v>
      </c>
      <c r="F9" s="208">
        <v>654.42999999999995</v>
      </c>
      <c r="G9" s="208">
        <v>56.7</v>
      </c>
      <c r="H9" s="208">
        <v>4366.5600000000004</v>
      </c>
      <c r="I9" s="208">
        <v>170858.91</v>
      </c>
    </row>
    <row r="10" spans="1:9" x14ac:dyDescent="0.35">
      <c r="A10" s="207">
        <v>6</v>
      </c>
      <c r="B10" s="202" t="s">
        <v>60</v>
      </c>
      <c r="C10" s="207" t="s">
        <v>153</v>
      </c>
      <c r="D10" s="208">
        <v>170858.91</v>
      </c>
      <c r="E10" s="208">
        <v>3669.14</v>
      </c>
      <c r="F10" s="208">
        <v>640.72</v>
      </c>
      <c r="G10" s="208">
        <v>56.7</v>
      </c>
      <c r="H10" s="208">
        <v>4366.5600000000004</v>
      </c>
      <c r="I10" s="208">
        <v>167189.76999999999</v>
      </c>
    </row>
    <row r="11" spans="1:9" x14ac:dyDescent="0.35">
      <c r="A11" s="207">
        <v>7</v>
      </c>
      <c r="B11" s="202" t="s">
        <v>61</v>
      </c>
      <c r="C11" s="207" t="s">
        <v>153</v>
      </c>
      <c r="D11" s="208">
        <v>167189.76999999999</v>
      </c>
      <c r="E11" s="208">
        <v>3682.9</v>
      </c>
      <c r="F11" s="208">
        <v>626.96</v>
      </c>
      <c r="G11" s="208">
        <v>56.7</v>
      </c>
      <c r="H11" s="208">
        <v>4366.5600000000004</v>
      </c>
      <c r="I11" s="208">
        <v>163506.87</v>
      </c>
    </row>
    <row r="12" spans="1:9" x14ac:dyDescent="0.35">
      <c r="A12" s="207">
        <v>8</v>
      </c>
      <c r="B12" s="202" t="s">
        <v>62</v>
      </c>
      <c r="C12" s="207" t="s">
        <v>153</v>
      </c>
      <c r="D12" s="208">
        <v>163506.87</v>
      </c>
      <c r="E12" s="208">
        <v>3696.71</v>
      </c>
      <c r="F12" s="208">
        <v>613.15</v>
      </c>
      <c r="G12" s="208">
        <v>56.7</v>
      </c>
      <c r="H12" s="208">
        <v>4366.5600000000004</v>
      </c>
      <c r="I12" s="208">
        <v>159810.16</v>
      </c>
    </row>
    <row r="13" spans="1:9" x14ac:dyDescent="0.35">
      <c r="A13" s="200"/>
      <c r="B13" s="405" t="s">
        <v>455</v>
      </c>
      <c r="C13" s="405"/>
      <c r="D13" s="212"/>
      <c r="E13" s="213">
        <f>SUM(E5:E12)</f>
        <v>29189.84</v>
      </c>
      <c r="F13" s="213">
        <f>SUM(F5:F12)</f>
        <v>5289.04</v>
      </c>
      <c r="G13" s="213">
        <f>SUM(G5:G12)</f>
        <v>453.59999999999997</v>
      </c>
      <c r="H13" s="213">
        <f>SUM(H5:H12)</f>
        <v>34932.480000000003</v>
      </c>
      <c r="I13" s="212"/>
    </row>
    <row r="15" spans="1:9" x14ac:dyDescent="0.35">
      <c r="A15" s="207">
        <v>9</v>
      </c>
      <c r="B15" s="202" t="s">
        <v>51</v>
      </c>
      <c r="C15" s="207" t="s">
        <v>154</v>
      </c>
      <c r="D15" s="208">
        <v>159810.16</v>
      </c>
      <c r="E15" s="208">
        <v>3710.57</v>
      </c>
      <c r="F15" s="208">
        <v>599.29</v>
      </c>
      <c r="G15" s="208">
        <v>56.7</v>
      </c>
      <c r="H15" s="208">
        <v>4366.5600000000004</v>
      </c>
      <c r="I15" s="208">
        <v>156099.59</v>
      </c>
    </row>
    <row r="16" spans="1:9" x14ac:dyDescent="0.35">
      <c r="A16" s="207">
        <v>10</v>
      </c>
      <c r="B16" s="202" t="s">
        <v>52</v>
      </c>
      <c r="C16" s="207" t="s">
        <v>154</v>
      </c>
      <c r="D16" s="208">
        <v>156099.59</v>
      </c>
      <c r="E16" s="208">
        <v>3724.49</v>
      </c>
      <c r="F16" s="208">
        <v>585.37</v>
      </c>
      <c r="G16" s="208">
        <v>56.7</v>
      </c>
      <c r="H16" s="208">
        <v>4366.5600000000004</v>
      </c>
      <c r="I16" s="208">
        <v>152375.10999999999</v>
      </c>
    </row>
    <row r="17" spans="1:10" x14ac:dyDescent="0.35">
      <c r="A17" s="207">
        <v>11</v>
      </c>
      <c r="B17" s="202" t="s">
        <v>53</v>
      </c>
      <c r="C17" s="207" t="s">
        <v>154</v>
      </c>
      <c r="D17" s="208">
        <v>152375.10999999999</v>
      </c>
      <c r="E17" s="208">
        <v>3738.45</v>
      </c>
      <c r="F17" s="208">
        <v>571.41</v>
      </c>
      <c r="G17" s="208">
        <v>56.7</v>
      </c>
      <c r="H17" s="208">
        <v>4366.5600000000004</v>
      </c>
      <c r="I17" s="208">
        <v>148636.66</v>
      </c>
    </row>
    <row r="18" spans="1:10" x14ac:dyDescent="0.35">
      <c r="A18" s="207">
        <v>12</v>
      </c>
      <c r="B18" s="202" t="s">
        <v>54</v>
      </c>
      <c r="C18" s="207" t="s">
        <v>154</v>
      </c>
      <c r="D18" s="208">
        <v>148636.66</v>
      </c>
      <c r="E18" s="208">
        <v>3752.47</v>
      </c>
      <c r="F18" s="208">
        <v>557.39</v>
      </c>
      <c r="G18" s="208">
        <v>56.7</v>
      </c>
      <c r="H18" s="208">
        <v>4366.5600000000004</v>
      </c>
      <c r="I18" s="208">
        <v>144884.18</v>
      </c>
    </row>
    <row r="19" spans="1:10" x14ac:dyDescent="0.35">
      <c r="A19" s="207">
        <v>13</v>
      </c>
      <c r="B19" s="202" t="s">
        <v>55</v>
      </c>
      <c r="C19" s="207" t="s">
        <v>154</v>
      </c>
      <c r="D19" s="208">
        <v>144884.18</v>
      </c>
      <c r="E19" s="208">
        <v>3766.54</v>
      </c>
      <c r="F19" s="208">
        <v>543.32000000000005</v>
      </c>
      <c r="G19" s="208">
        <v>56.7</v>
      </c>
      <c r="H19" s="208">
        <v>4366.5600000000004</v>
      </c>
      <c r="I19" s="208">
        <v>141117.64000000001</v>
      </c>
    </row>
    <row r="20" spans="1:10" x14ac:dyDescent="0.35">
      <c r="A20" s="207">
        <v>14</v>
      </c>
      <c r="B20" s="202" t="s">
        <v>56</v>
      </c>
      <c r="C20" s="207" t="s">
        <v>154</v>
      </c>
      <c r="D20" s="208">
        <v>141117.64000000001</v>
      </c>
      <c r="E20" s="208">
        <v>3780.67</v>
      </c>
      <c r="F20" s="208">
        <v>529.19000000000005</v>
      </c>
      <c r="G20" s="208">
        <v>56.7</v>
      </c>
      <c r="H20" s="208">
        <v>4366.5600000000004</v>
      </c>
      <c r="I20" s="208">
        <v>137336.97</v>
      </c>
    </row>
    <row r="21" spans="1:10" x14ac:dyDescent="0.35">
      <c r="A21" s="207">
        <v>15</v>
      </c>
      <c r="B21" s="202" t="s">
        <v>57</v>
      </c>
      <c r="C21" s="207" t="s">
        <v>154</v>
      </c>
      <c r="D21" s="208">
        <v>137336.97</v>
      </c>
      <c r="E21" s="208">
        <v>3794.85</v>
      </c>
      <c r="F21" s="208">
        <v>515.01</v>
      </c>
      <c r="G21" s="208">
        <v>56.7</v>
      </c>
      <c r="H21" s="208">
        <v>4366.5600000000004</v>
      </c>
      <c r="I21" s="208">
        <v>133542.13</v>
      </c>
    </row>
    <row r="22" spans="1:10" x14ac:dyDescent="0.35">
      <c r="A22" s="207">
        <v>16</v>
      </c>
      <c r="B22" s="202" t="s">
        <v>58</v>
      </c>
      <c r="C22" s="207" t="s">
        <v>154</v>
      </c>
      <c r="D22" s="208">
        <v>133542.13</v>
      </c>
      <c r="E22" s="208">
        <v>3809.08</v>
      </c>
      <c r="F22" s="208">
        <v>500.78</v>
      </c>
      <c r="G22" s="208">
        <v>56.7</v>
      </c>
      <c r="H22" s="208">
        <v>4366.5600000000004</v>
      </c>
      <c r="I22" s="208">
        <v>129733.05</v>
      </c>
    </row>
    <row r="23" spans="1:10" x14ac:dyDescent="0.35">
      <c r="A23" s="207">
        <v>17</v>
      </c>
      <c r="B23" s="202" t="s">
        <v>59</v>
      </c>
      <c r="C23" s="207" t="s">
        <v>154</v>
      </c>
      <c r="D23" s="208">
        <v>129733.05</v>
      </c>
      <c r="E23" s="208">
        <v>3823.36</v>
      </c>
      <c r="F23" s="208">
        <v>486.5</v>
      </c>
      <c r="G23" s="208">
        <v>56.7</v>
      </c>
      <c r="H23" s="208">
        <v>4366.5600000000004</v>
      </c>
      <c r="I23" s="208">
        <v>125909.69</v>
      </c>
    </row>
    <row r="24" spans="1:10" x14ac:dyDescent="0.35">
      <c r="A24" s="207">
        <v>18</v>
      </c>
      <c r="B24" s="202" t="s">
        <v>60</v>
      </c>
      <c r="C24" s="207" t="s">
        <v>154</v>
      </c>
      <c r="D24" s="208">
        <v>125909.69</v>
      </c>
      <c r="E24" s="208">
        <v>3837.7</v>
      </c>
      <c r="F24" s="208">
        <v>472.16</v>
      </c>
      <c r="G24" s="208">
        <v>56.7</v>
      </c>
      <c r="H24" s="208">
        <v>4366.5600000000004</v>
      </c>
      <c r="I24" s="208">
        <v>122071.99</v>
      </c>
    </row>
    <row r="25" spans="1:10" x14ac:dyDescent="0.35">
      <c r="A25" s="207">
        <v>19</v>
      </c>
      <c r="B25" s="202" t="s">
        <v>61</v>
      </c>
      <c r="C25" s="207" t="s">
        <v>154</v>
      </c>
      <c r="D25" s="208">
        <v>122071.99</v>
      </c>
      <c r="E25" s="208">
        <v>3852.09</v>
      </c>
      <c r="F25" s="208">
        <v>457.77</v>
      </c>
      <c r="G25" s="208">
        <v>56.7</v>
      </c>
      <c r="H25" s="208">
        <v>4366.5600000000004</v>
      </c>
      <c r="I25" s="208">
        <v>118219.91</v>
      </c>
    </row>
    <row r="26" spans="1:10" x14ac:dyDescent="0.35">
      <c r="A26" s="207">
        <v>20</v>
      </c>
      <c r="B26" s="202" t="s">
        <v>62</v>
      </c>
      <c r="C26" s="207" t="s">
        <v>154</v>
      </c>
      <c r="D26" s="208">
        <v>118219.91</v>
      </c>
      <c r="E26" s="208">
        <v>3866.53</v>
      </c>
      <c r="F26" s="208">
        <v>443.32</v>
      </c>
      <c r="G26" s="208">
        <v>56.7</v>
      </c>
      <c r="H26" s="208">
        <v>4366.5600000000004</v>
      </c>
      <c r="I26" s="208">
        <v>114353.37</v>
      </c>
    </row>
    <row r="27" spans="1:10" x14ac:dyDescent="0.35">
      <c r="A27" s="200"/>
      <c r="B27" s="405" t="s">
        <v>456</v>
      </c>
      <c r="C27" s="405"/>
      <c r="D27" s="212"/>
      <c r="E27" s="213">
        <f>SUM(E15:E26)</f>
        <v>45456.799999999988</v>
      </c>
      <c r="F27" s="213">
        <f>SUM(F15:F26)</f>
        <v>6261.5099999999984</v>
      </c>
      <c r="G27" s="213">
        <f>SUM(G15:G26)</f>
        <v>680.40000000000009</v>
      </c>
      <c r="H27" s="213">
        <f>SUM(H15:H26)</f>
        <v>52398.719999999994</v>
      </c>
      <c r="I27" s="212"/>
      <c r="J27" s="77">
        <f>SUM(E27:F27)</f>
        <v>51718.309999999983</v>
      </c>
    </row>
    <row r="29" spans="1:10" x14ac:dyDescent="0.35">
      <c r="A29" s="207">
        <v>21</v>
      </c>
      <c r="B29" s="202" t="s">
        <v>51</v>
      </c>
      <c r="C29" s="207" t="s">
        <v>155</v>
      </c>
      <c r="D29" s="208">
        <v>114353.37</v>
      </c>
      <c r="E29" s="208">
        <v>3881.03</v>
      </c>
      <c r="F29" s="208">
        <v>428.83</v>
      </c>
      <c r="G29" s="208">
        <v>56.7</v>
      </c>
      <c r="H29" s="208">
        <v>4366.5600000000004</v>
      </c>
      <c r="I29" s="208">
        <v>110472.34</v>
      </c>
    </row>
    <row r="30" spans="1:10" x14ac:dyDescent="0.35">
      <c r="A30" s="207">
        <v>22</v>
      </c>
      <c r="B30" s="202" t="s">
        <v>52</v>
      </c>
      <c r="C30" s="207" t="s">
        <v>155</v>
      </c>
      <c r="D30" s="208">
        <v>110472.34</v>
      </c>
      <c r="E30" s="208">
        <v>3895.59</v>
      </c>
      <c r="F30" s="208">
        <v>414.27</v>
      </c>
      <c r="G30" s="208">
        <v>56.7</v>
      </c>
      <c r="H30" s="208">
        <v>4366.5600000000004</v>
      </c>
      <c r="I30" s="208">
        <v>106576.75</v>
      </c>
    </row>
    <row r="31" spans="1:10" x14ac:dyDescent="0.35">
      <c r="A31" s="207">
        <v>23</v>
      </c>
      <c r="B31" s="202" t="s">
        <v>53</v>
      </c>
      <c r="C31" s="207" t="s">
        <v>155</v>
      </c>
      <c r="D31" s="208">
        <v>106576.75</v>
      </c>
      <c r="E31" s="208">
        <v>3910.2</v>
      </c>
      <c r="F31" s="208">
        <v>399.66</v>
      </c>
      <c r="G31" s="208">
        <v>56.7</v>
      </c>
      <c r="H31" s="208">
        <v>4366.5600000000004</v>
      </c>
      <c r="I31" s="208">
        <v>102666.55</v>
      </c>
    </row>
    <row r="32" spans="1:10" x14ac:dyDescent="0.35">
      <c r="A32" s="207">
        <v>24</v>
      </c>
      <c r="B32" s="202" t="s">
        <v>54</v>
      </c>
      <c r="C32" s="207" t="s">
        <v>155</v>
      </c>
      <c r="D32" s="208">
        <v>102666.55</v>
      </c>
      <c r="E32" s="208">
        <v>3924.86</v>
      </c>
      <c r="F32" s="208">
        <v>385</v>
      </c>
      <c r="G32" s="208">
        <v>56.7</v>
      </c>
      <c r="H32" s="208">
        <v>4366.5600000000004</v>
      </c>
      <c r="I32" s="208">
        <v>98741.69</v>
      </c>
    </row>
    <row r="33" spans="1:9" x14ac:dyDescent="0.35">
      <c r="A33" s="207">
        <v>25</v>
      </c>
      <c r="B33" s="202" t="s">
        <v>55</v>
      </c>
      <c r="C33" s="207" t="s">
        <v>155</v>
      </c>
      <c r="D33" s="208">
        <v>98741.69</v>
      </c>
      <c r="E33" s="208">
        <v>3939.58</v>
      </c>
      <c r="F33" s="208">
        <v>370.28</v>
      </c>
      <c r="G33" s="208">
        <v>56.7</v>
      </c>
      <c r="H33" s="208">
        <v>4366.5600000000004</v>
      </c>
      <c r="I33" s="208">
        <v>94802.12</v>
      </c>
    </row>
    <row r="34" spans="1:9" x14ac:dyDescent="0.35">
      <c r="A34" s="207">
        <v>26</v>
      </c>
      <c r="B34" s="202" t="s">
        <v>56</v>
      </c>
      <c r="C34" s="207" t="s">
        <v>155</v>
      </c>
      <c r="D34" s="208">
        <v>94802.12</v>
      </c>
      <c r="E34" s="208">
        <v>3954.35</v>
      </c>
      <c r="F34" s="208">
        <v>355.51</v>
      </c>
      <c r="G34" s="208">
        <v>56.7</v>
      </c>
      <c r="H34" s="208">
        <v>4366.5600000000004</v>
      </c>
      <c r="I34" s="208">
        <v>90847.77</v>
      </c>
    </row>
    <row r="35" spans="1:9" x14ac:dyDescent="0.35">
      <c r="A35" s="207">
        <v>27</v>
      </c>
      <c r="B35" s="202" t="s">
        <v>57</v>
      </c>
      <c r="C35" s="207" t="s">
        <v>155</v>
      </c>
      <c r="D35" s="208">
        <v>90847.77</v>
      </c>
      <c r="E35" s="208">
        <v>3969.18</v>
      </c>
      <c r="F35" s="208">
        <v>340.68</v>
      </c>
      <c r="G35" s="208">
        <v>56.7</v>
      </c>
      <c r="H35" s="208">
        <v>4366.5600000000004</v>
      </c>
      <c r="I35" s="208">
        <v>86878.59</v>
      </c>
    </row>
    <row r="36" spans="1:9" x14ac:dyDescent="0.35">
      <c r="A36" s="207">
        <v>28</v>
      </c>
      <c r="B36" s="202" t="s">
        <v>58</v>
      </c>
      <c r="C36" s="207" t="s">
        <v>155</v>
      </c>
      <c r="D36" s="208">
        <v>86878.59</v>
      </c>
      <c r="E36" s="208">
        <v>3984.06</v>
      </c>
      <c r="F36" s="208">
        <v>325.79000000000002</v>
      </c>
      <c r="G36" s="208">
        <v>56.7</v>
      </c>
      <c r="H36" s="208">
        <v>4366.5600000000004</v>
      </c>
      <c r="I36" s="208">
        <v>82894.52</v>
      </c>
    </row>
    <row r="37" spans="1:9" x14ac:dyDescent="0.35">
      <c r="A37" s="207">
        <v>29</v>
      </c>
      <c r="B37" s="202" t="s">
        <v>59</v>
      </c>
      <c r="C37" s="207" t="s">
        <v>155</v>
      </c>
      <c r="D37" s="208">
        <v>82894.52</v>
      </c>
      <c r="E37" s="208">
        <v>3999</v>
      </c>
      <c r="F37" s="208">
        <v>310.85000000000002</v>
      </c>
      <c r="G37" s="208">
        <v>56.7</v>
      </c>
      <c r="H37" s="208">
        <v>4366.5600000000004</v>
      </c>
      <c r="I37" s="208">
        <v>78895.520000000004</v>
      </c>
    </row>
    <row r="38" spans="1:9" x14ac:dyDescent="0.35">
      <c r="A38" s="207">
        <v>30</v>
      </c>
      <c r="B38" s="202" t="s">
        <v>60</v>
      </c>
      <c r="C38" s="207" t="s">
        <v>155</v>
      </c>
      <c r="D38" s="208">
        <v>78895.520000000004</v>
      </c>
      <c r="E38" s="208">
        <v>4014</v>
      </c>
      <c r="F38" s="208">
        <v>295.86</v>
      </c>
      <c r="G38" s="208">
        <v>56.7</v>
      </c>
      <c r="H38" s="208">
        <v>4366.5600000000004</v>
      </c>
      <c r="I38" s="208">
        <v>74881.52</v>
      </c>
    </row>
    <row r="39" spans="1:9" x14ac:dyDescent="0.35">
      <c r="A39" s="207">
        <v>31</v>
      </c>
      <c r="B39" s="202" t="s">
        <v>61</v>
      </c>
      <c r="C39" s="207" t="s">
        <v>155</v>
      </c>
      <c r="D39" s="208">
        <v>74881.52</v>
      </c>
      <c r="E39" s="208">
        <v>4029.05</v>
      </c>
      <c r="F39" s="208">
        <v>280.81</v>
      </c>
      <c r="G39" s="208">
        <v>56.7</v>
      </c>
      <c r="H39" s="208">
        <v>4366.5600000000004</v>
      </c>
      <c r="I39" s="208">
        <v>70852.460000000006</v>
      </c>
    </row>
    <row r="40" spans="1:9" x14ac:dyDescent="0.35">
      <c r="A40" s="207">
        <v>32</v>
      </c>
      <c r="B40" s="202" t="s">
        <v>62</v>
      </c>
      <c r="C40" s="207" t="s">
        <v>155</v>
      </c>
      <c r="D40" s="208">
        <v>70852.460000000006</v>
      </c>
      <c r="E40" s="208">
        <v>4044.16</v>
      </c>
      <c r="F40" s="208">
        <v>265.7</v>
      </c>
      <c r="G40" s="208">
        <v>56.7</v>
      </c>
      <c r="H40" s="208">
        <v>4366.5600000000004</v>
      </c>
      <c r="I40" s="208">
        <v>66808.3</v>
      </c>
    </row>
    <row r="41" spans="1:9" x14ac:dyDescent="0.35">
      <c r="A41" s="200"/>
      <c r="B41" s="405" t="s">
        <v>457</v>
      </c>
      <c r="C41" s="405"/>
      <c r="D41" s="212"/>
      <c r="E41" s="213">
        <f>SUM(E29:E40)</f>
        <v>47545.060000000012</v>
      </c>
      <c r="F41" s="213">
        <f>SUM(F29:F40)</f>
        <v>4173.24</v>
      </c>
      <c r="G41" s="213">
        <f>SUM(G29:G40)</f>
        <v>680.40000000000009</v>
      </c>
      <c r="H41" s="213">
        <f>SUM(H29:H40)</f>
        <v>52398.719999999994</v>
      </c>
      <c r="I41" s="212"/>
    </row>
    <row r="43" spans="1:9" x14ac:dyDescent="0.35">
      <c r="A43" s="207">
        <v>33</v>
      </c>
      <c r="B43" s="202" t="s">
        <v>51</v>
      </c>
      <c r="C43" s="207" t="s">
        <v>156</v>
      </c>
      <c r="D43" s="208">
        <v>66808.3</v>
      </c>
      <c r="E43" s="208">
        <v>4059.33</v>
      </c>
      <c r="F43" s="208">
        <v>250.53</v>
      </c>
      <c r="G43" s="208">
        <v>56.7</v>
      </c>
      <c r="H43" s="208">
        <v>4366.5600000000004</v>
      </c>
      <c r="I43" s="208">
        <v>62748.97</v>
      </c>
    </row>
    <row r="44" spans="1:9" x14ac:dyDescent="0.35">
      <c r="A44" s="207">
        <v>34</v>
      </c>
      <c r="B44" s="202" t="s">
        <v>52</v>
      </c>
      <c r="C44" s="207" t="s">
        <v>156</v>
      </c>
      <c r="D44" s="208">
        <v>62748.97</v>
      </c>
      <c r="E44" s="208">
        <v>4074.55</v>
      </c>
      <c r="F44" s="208">
        <v>235.31</v>
      </c>
      <c r="G44" s="208">
        <v>56.7</v>
      </c>
      <c r="H44" s="208">
        <v>4366.5600000000004</v>
      </c>
      <c r="I44" s="208">
        <v>58674.42</v>
      </c>
    </row>
    <row r="45" spans="1:9" x14ac:dyDescent="0.35">
      <c r="A45" s="207">
        <v>35</v>
      </c>
      <c r="B45" s="202" t="s">
        <v>53</v>
      </c>
      <c r="C45" s="207" t="s">
        <v>156</v>
      </c>
      <c r="D45" s="208">
        <v>58674.42</v>
      </c>
      <c r="E45" s="208">
        <v>4089.83</v>
      </c>
      <c r="F45" s="208">
        <v>220.03</v>
      </c>
      <c r="G45" s="208">
        <v>56.7</v>
      </c>
      <c r="H45" s="208">
        <v>4366.5600000000004</v>
      </c>
      <c r="I45" s="208">
        <v>54584.59</v>
      </c>
    </row>
    <row r="46" spans="1:9" x14ac:dyDescent="0.35">
      <c r="A46" s="207">
        <v>36</v>
      </c>
      <c r="B46" s="202" t="s">
        <v>54</v>
      </c>
      <c r="C46" s="207" t="s">
        <v>156</v>
      </c>
      <c r="D46" s="208">
        <v>54584.59</v>
      </c>
      <c r="E46" s="208">
        <v>4105.17</v>
      </c>
      <c r="F46" s="208">
        <v>204.69</v>
      </c>
      <c r="G46" s="208">
        <v>56.7</v>
      </c>
      <c r="H46" s="208">
        <v>4366.5600000000004</v>
      </c>
      <c r="I46" s="208">
        <v>50479.43</v>
      </c>
    </row>
    <row r="47" spans="1:9" x14ac:dyDescent="0.35">
      <c r="A47" s="207">
        <v>37</v>
      </c>
      <c r="B47" s="202" t="s">
        <v>55</v>
      </c>
      <c r="C47" s="207" t="s">
        <v>156</v>
      </c>
      <c r="D47" s="208">
        <v>50479.43</v>
      </c>
      <c r="E47" s="208">
        <v>4120.5600000000004</v>
      </c>
      <c r="F47" s="208">
        <v>189.3</v>
      </c>
      <c r="G47" s="208">
        <v>56.7</v>
      </c>
      <c r="H47" s="208">
        <v>4366.5600000000004</v>
      </c>
      <c r="I47" s="208">
        <v>46358.87</v>
      </c>
    </row>
    <row r="48" spans="1:9" x14ac:dyDescent="0.35">
      <c r="A48" s="207">
        <v>38</v>
      </c>
      <c r="B48" s="202" t="s">
        <v>56</v>
      </c>
      <c r="C48" s="207" t="s">
        <v>156</v>
      </c>
      <c r="D48" s="208">
        <v>46358.87</v>
      </c>
      <c r="E48" s="208">
        <v>4136.01</v>
      </c>
      <c r="F48" s="208">
        <v>173.85</v>
      </c>
      <c r="G48" s="208">
        <v>56.7</v>
      </c>
      <c r="H48" s="208">
        <v>4366.5600000000004</v>
      </c>
      <c r="I48" s="208">
        <v>42222.85</v>
      </c>
    </row>
    <row r="49" spans="1:9" x14ac:dyDescent="0.35">
      <c r="A49" s="207">
        <v>39</v>
      </c>
      <c r="B49" s="202" t="s">
        <v>57</v>
      </c>
      <c r="C49" s="207" t="s">
        <v>156</v>
      </c>
      <c r="D49" s="208">
        <v>42222.85</v>
      </c>
      <c r="E49" s="208">
        <v>4151.5200000000004</v>
      </c>
      <c r="F49" s="208">
        <v>158.34</v>
      </c>
      <c r="G49" s="208">
        <v>56.7</v>
      </c>
      <c r="H49" s="208">
        <v>4366.5600000000004</v>
      </c>
      <c r="I49" s="208">
        <v>38071.33</v>
      </c>
    </row>
    <row r="50" spans="1:9" x14ac:dyDescent="0.35">
      <c r="A50" s="207">
        <v>40</v>
      </c>
      <c r="B50" s="202" t="s">
        <v>58</v>
      </c>
      <c r="C50" s="207" t="s">
        <v>156</v>
      </c>
      <c r="D50" s="208">
        <v>38071.33</v>
      </c>
      <c r="E50" s="208">
        <v>4167.09</v>
      </c>
      <c r="F50" s="208">
        <v>142.77000000000001</v>
      </c>
      <c r="G50" s="208">
        <v>56.7</v>
      </c>
      <c r="H50" s="208">
        <v>4366.5600000000004</v>
      </c>
      <c r="I50" s="208">
        <v>33904.239999999998</v>
      </c>
    </row>
    <row r="51" spans="1:9" x14ac:dyDescent="0.35">
      <c r="A51" s="207">
        <v>41</v>
      </c>
      <c r="B51" s="202" t="s">
        <v>59</v>
      </c>
      <c r="C51" s="207" t="s">
        <v>156</v>
      </c>
      <c r="D51" s="208">
        <v>33904.239999999998</v>
      </c>
      <c r="E51" s="208">
        <v>4182.72</v>
      </c>
      <c r="F51" s="208">
        <v>127.14</v>
      </c>
      <c r="G51" s="208">
        <v>56.7</v>
      </c>
      <c r="H51" s="208">
        <v>4366.5600000000004</v>
      </c>
      <c r="I51" s="208">
        <v>29721.52</v>
      </c>
    </row>
    <row r="52" spans="1:9" x14ac:dyDescent="0.35">
      <c r="A52" s="207">
        <v>42</v>
      </c>
      <c r="B52" s="202" t="s">
        <v>60</v>
      </c>
      <c r="C52" s="207" t="s">
        <v>156</v>
      </c>
      <c r="D52" s="208">
        <v>29721.52</v>
      </c>
      <c r="E52" s="208">
        <v>4198.3999999999996</v>
      </c>
      <c r="F52" s="208">
        <v>111.46</v>
      </c>
      <c r="G52" s="208">
        <v>56.7</v>
      </c>
      <c r="H52" s="208">
        <v>4366.5600000000004</v>
      </c>
      <c r="I52" s="208">
        <v>25523.119999999999</v>
      </c>
    </row>
    <row r="53" spans="1:9" x14ac:dyDescent="0.35">
      <c r="A53" s="207">
        <v>43</v>
      </c>
      <c r="B53" s="202" t="s">
        <v>61</v>
      </c>
      <c r="C53" s="207" t="s">
        <v>156</v>
      </c>
      <c r="D53" s="208">
        <v>25523.119999999999</v>
      </c>
      <c r="E53" s="208">
        <v>4214.1499999999996</v>
      </c>
      <c r="F53" s="208">
        <v>95.71</v>
      </c>
      <c r="G53" s="208">
        <v>56.7</v>
      </c>
      <c r="H53" s="208">
        <v>4366.5600000000004</v>
      </c>
      <c r="I53" s="208">
        <v>21308.97</v>
      </c>
    </row>
    <row r="54" spans="1:9" x14ac:dyDescent="0.35">
      <c r="A54" s="207">
        <v>44</v>
      </c>
      <c r="B54" s="202" t="s">
        <v>62</v>
      </c>
      <c r="C54" s="207" t="s">
        <v>156</v>
      </c>
      <c r="D54" s="208">
        <v>21308.97</v>
      </c>
      <c r="E54" s="208">
        <v>4229.95</v>
      </c>
      <c r="F54" s="208">
        <v>79.91</v>
      </c>
      <c r="G54" s="208">
        <v>56.7</v>
      </c>
      <c r="H54" s="208">
        <v>4366.5600000000004</v>
      </c>
      <c r="I54" s="208">
        <v>17079.02</v>
      </c>
    </row>
    <row r="55" spans="1:9" x14ac:dyDescent="0.35">
      <c r="A55" s="200"/>
      <c r="B55" s="405" t="s">
        <v>458</v>
      </c>
      <c r="C55" s="405"/>
      <c r="D55" s="212"/>
      <c r="E55" s="213">
        <f>SUM(E43:E54)</f>
        <v>49729.279999999999</v>
      </c>
      <c r="F55" s="213">
        <f>SUM(F43:F54)</f>
        <v>1989.04</v>
      </c>
      <c r="G55" s="213">
        <f>SUM(G43:G54)</f>
        <v>680.40000000000009</v>
      </c>
      <c r="H55" s="213">
        <f>SUM(H43:H54)</f>
        <v>52398.719999999994</v>
      </c>
      <c r="I55" s="212"/>
    </row>
    <row r="57" spans="1:9" x14ac:dyDescent="0.35">
      <c r="A57" s="207">
        <v>45</v>
      </c>
      <c r="B57" s="202" t="s">
        <v>51</v>
      </c>
      <c r="C57" s="207" t="s">
        <v>352</v>
      </c>
      <c r="D57" s="208">
        <v>17079.02</v>
      </c>
      <c r="E57" s="208">
        <v>4245.8100000000004</v>
      </c>
      <c r="F57" s="208">
        <v>64.05</v>
      </c>
      <c r="G57" s="208">
        <v>56.7</v>
      </c>
      <c r="H57" s="208">
        <v>4366.5600000000004</v>
      </c>
      <c r="I57" s="208">
        <v>12833.21</v>
      </c>
    </row>
    <row r="58" spans="1:9" x14ac:dyDescent="0.35">
      <c r="A58" s="207">
        <v>46</v>
      </c>
      <c r="B58" s="202" t="s">
        <v>52</v>
      </c>
      <c r="C58" s="207" t="s">
        <v>352</v>
      </c>
      <c r="D58" s="208">
        <v>12833.21</v>
      </c>
      <c r="E58" s="208">
        <v>4261.7299999999996</v>
      </c>
      <c r="F58" s="208">
        <v>48.12</v>
      </c>
      <c r="G58" s="208">
        <v>56.7</v>
      </c>
      <c r="H58" s="208">
        <v>4366.5600000000004</v>
      </c>
      <c r="I58" s="208">
        <v>8571.4699999999993</v>
      </c>
    </row>
    <row r="59" spans="1:9" x14ac:dyDescent="0.35">
      <c r="A59" s="207">
        <v>47</v>
      </c>
      <c r="B59" s="202" t="s">
        <v>53</v>
      </c>
      <c r="C59" s="207" t="s">
        <v>352</v>
      </c>
      <c r="D59" s="208">
        <v>8571.4699999999993</v>
      </c>
      <c r="E59" s="208">
        <v>4277.72</v>
      </c>
      <c r="F59" s="208">
        <v>32.14</v>
      </c>
      <c r="G59" s="208">
        <v>56.7</v>
      </c>
      <c r="H59" s="208">
        <v>4366.5600000000004</v>
      </c>
      <c r="I59" s="208">
        <v>4293.76</v>
      </c>
    </row>
    <row r="60" spans="1:9" x14ac:dyDescent="0.35">
      <c r="A60" s="207">
        <v>48</v>
      </c>
      <c r="B60" s="202" t="s">
        <v>54</v>
      </c>
      <c r="C60" s="207" t="s">
        <v>352</v>
      </c>
      <c r="D60" s="208">
        <v>4293.76</v>
      </c>
      <c r="E60" s="208">
        <v>4293.76</v>
      </c>
      <c r="F60" s="208">
        <v>16.100000000000001</v>
      </c>
      <c r="G60" s="208">
        <v>56.7</v>
      </c>
      <c r="H60" s="208">
        <v>4366.5600000000004</v>
      </c>
      <c r="I60" s="208">
        <v>0</v>
      </c>
    </row>
    <row r="61" spans="1:9" x14ac:dyDescent="0.35">
      <c r="A61" s="200"/>
      <c r="B61" s="405" t="s">
        <v>459</v>
      </c>
      <c r="C61" s="405"/>
      <c r="D61" s="212"/>
      <c r="E61" s="213">
        <f>SUM(E57:E60)</f>
        <v>17079.020000000004</v>
      </c>
      <c r="F61" s="213">
        <f>SUM(F57:F60)</f>
        <v>160.41</v>
      </c>
      <c r="G61" s="213">
        <f>SUM(G57:G60)</f>
        <v>226.8</v>
      </c>
      <c r="H61" s="213">
        <f>SUM(H57:H60)</f>
        <v>17466.240000000002</v>
      </c>
      <c r="I61" s="212"/>
    </row>
    <row r="63" spans="1:9" x14ac:dyDescent="0.35">
      <c r="A63" s="214"/>
      <c r="B63" s="406" t="s">
        <v>460</v>
      </c>
      <c r="C63" s="406"/>
      <c r="D63" s="215"/>
      <c r="E63" s="216">
        <f>E13+E27+E41+E55+E61</f>
        <v>189000</v>
      </c>
      <c r="F63" s="216">
        <f>F13+F27+F41+F55+F61</f>
        <v>17873.239999999998</v>
      </c>
      <c r="G63" s="216">
        <f>G13+G27+G41+G55+G61</f>
        <v>2721.6000000000004</v>
      </c>
      <c r="H63" s="216">
        <f>H13+H27+H41+H55+H61</f>
        <v>209594.87999999998</v>
      </c>
      <c r="I63" s="215"/>
    </row>
  </sheetData>
  <mergeCells count="8">
    <mergeCell ref="B61:C61"/>
    <mergeCell ref="B63:C63"/>
    <mergeCell ref="A1:I1"/>
    <mergeCell ref="A2:I2"/>
    <mergeCell ref="B13:C13"/>
    <mergeCell ref="B27:C27"/>
    <mergeCell ref="B41:C41"/>
    <mergeCell ref="B55:C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1441-BB8B-4C1A-A3C3-009EB7281204}">
  <sheetPr>
    <tabColor rgb="FF92D050"/>
  </sheetPr>
  <dimension ref="A1:D14"/>
  <sheetViews>
    <sheetView workbookViewId="0">
      <selection activeCell="A24" sqref="A24"/>
    </sheetView>
  </sheetViews>
  <sheetFormatPr baseColWidth="10" defaultRowHeight="14.5" x14ac:dyDescent="0.35"/>
  <cols>
    <col min="1" max="1" width="41.36328125" bestFit="1" customWidth="1"/>
    <col min="2" max="2" width="22" bestFit="1" customWidth="1"/>
    <col min="3" max="3" width="11.54296875" bestFit="1" customWidth="1"/>
    <col min="4" max="4" width="78.7265625" bestFit="1" customWidth="1"/>
  </cols>
  <sheetData>
    <row r="1" spans="1:4" ht="18" x14ac:dyDescent="0.35">
      <c r="A1" s="409" t="s">
        <v>500</v>
      </c>
      <c r="B1" s="409"/>
      <c r="C1" s="409"/>
      <c r="D1" s="409"/>
    </row>
    <row r="2" spans="1:4" x14ac:dyDescent="0.35">
      <c r="A2" s="410" t="s">
        <v>501</v>
      </c>
      <c r="B2" s="410"/>
      <c r="C2" s="410"/>
      <c r="D2" s="410"/>
    </row>
    <row r="4" spans="1:4" x14ac:dyDescent="0.35">
      <c r="A4" s="338" t="s">
        <v>502</v>
      </c>
      <c r="B4" s="339" t="s">
        <v>40</v>
      </c>
      <c r="C4" s="339" t="s">
        <v>503</v>
      </c>
      <c r="D4" s="339" t="s">
        <v>504</v>
      </c>
    </row>
    <row r="5" spans="1:4" x14ac:dyDescent="0.35">
      <c r="A5" s="340" t="s">
        <v>505</v>
      </c>
      <c r="B5" s="341">
        <v>35000</v>
      </c>
      <c r="C5" s="342">
        <f>B5/189000</f>
        <v>0.18518518518518517</v>
      </c>
      <c r="D5" s="343" t="s">
        <v>506</v>
      </c>
    </row>
    <row r="6" spans="1:4" x14ac:dyDescent="0.35">
      <c r="A6" s="340" t="s">
        <v>507</v>
      </c>
      <c r="B6" s="341">
        <v>110000</v>
      </c>
      <c r="C6" s="342">
        <f>B6/189000</f>
        <v>0.58201058201058198</v>
      </c>
      <c r="D6" s="343" t="s">
        <v>508</v>
      </c>
    </row>
    <row r="7" spans="1:4" x14ac:dyDescent="0.35">
      <c r="A7" s="340" t="s">
        <v>509</v>
      </c>
      <c r="B7" s="341">
        <v>30000</v>
      </c>
      <c r="C7" s="342">
        <f>B7/189000</f>
        <v>0.15873015873015872</v>
      </c>
      <c r="D7" s="343" t="s">
        <v>510</v>
      </c>
    </row>
    <row r="8" spans="1:4" ht="15" thickBot="1" x14ac:dyDescent="0.4">
      <c r="A8" s="340" t="s">
        <v>511</v>
      </c>
      <c r="B8" s="341">
        <v>14000</v>
      </c>
      <c r="C8" s="342">
        <f>B8/189000</f>
        <v>7.407407407407407E-2</v>
      </c>
      <c r="D8" s="343" t="s">
        <v>512</v>
      </c>
    </row>
    <row r="9" spans="1:4" ht="15" thickBot="1" x14ac:dyDescent="0.4">
      <c r="A9" s="344" t="s">
        <v>513</v>
      </c>
      <c r="B9" s="345">
        <f>SUM(B5:B8)</f>
        <v>189000</v>
      </c>
      <c r="C9" s="346">
        <f>SUM(C5:C8)</f>
        <v>1</v>
      </c>
      <c r="D9" s="347"/>
    </row>
    <row r="12" spans="1:4" x14ac:dyDescent="0.35">
      <c r="A12" s="411" t="s">
        <v>515</v>
      </c>
      <c r="B12" s="411"/>
      <c r="C12" s="411"/>
      <c r="D12" s="411"/>
    </row>
    <row r="13" spans="1:4" x14ac:dyDescent="0.35">
      <c r="A13" s="412"/>
      <c r="B13" s="412"/>
      <c r="C13" s="412"/>
      <c r="D13" s="412"/>
    </row>
    <row r="14" spans="1:4" x14ac:dyDescent="0.35">
      <c r="A14" s="413" t="s">
        <v>516</v>
      </c>
      <c r="B14" s="413"/>
      <c r="C14" s="413"/>
      <c r="D14" s="413"/>
    </row>
  </sheetData>
  <mergeCells count="5">
    <mergeCell ref="A1:D1"/>
    <mergeCell ref="A2:D2"/>
    <mergeCell ref="A12:D12"/>
    <mergeCell ref="A13:D13"/>
    <mergeCell ref="A14:D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G51"/>
  <sheetViews>
    <sheetView topLeftCell="A26" zoomScaleNormal="100" workbookViewId="0">
      <selection activeCell="J52" sqref="J52"/>
    </sheetView>
  </sheetViews>
  <sheetFormatPr baseColWidth="10" defaultColWidth="8.6328125" defaultRowHeight="14.5" x14ac:dyDescent="0.35"/>
  <cols>
    <col min="1" max="1" width="44.1796875" customWidth="1"/>
    <col min="2" max="4" width="16" customWidth="1"/>
    <col min="5" max="6" width="23.08984375" customWidth="1"/>
  </cols>
  <sheetData>
    <row r="1" spans="1:6" ht="19.5" customHeight="1" x14ac:dyDescent="0.4">
      <c r="A1" s="399" t="s">
        <v>168</v>
      </c>
      <c r="B1" s="399"/>
      <c r="C1" s="399"/>
      <c r="D1" s="399"/>
      <c r="E1" s="399"/>
    </row>
    <row r="3" spans="1:6" ht="15" customHeight="1" x14ac:dyDescent="0.35">
      <c r="A3" s="417" t="s">
        <v>169</v>
      </c>
      <c r="B3" s="417"/>
      <c r="C3" s="417"/>
      <c r="D3" s="417"/>
      <c r="E3" s="417"/>
      <c r="F3" s="417"/>
    </row>
    <row r="4" spans="1:6" ht="15" customHeight="1" x14ac:dyDescent="0.35">
      <c r="A4" s="418" t="s">
        <v>170</v>
      </c>
      <c r="B4" s="418"/>
      <c r="C4" s="418"/>
      <c r="D4" s="418"/>
      <c r="E4" s="418"/>
    </row>
    <row r="5" spans="1:6" ht="15" customHeight="1" x14ac:dyDescent="0.35">
      <c r="A5" s="35" t="s">
        <v>171</v>
      </c>
      <c r="B5" s="35" t="s">
        <v>172</v>
      </c>
      <c r="C5" s="38"/>
      <c r="D5" s="38"/>
      <c r="E5" s="38"/>
    </row>
    <row r="6" spans="1:6" ht="15" customHeight="1" x14ac:dyDescent="0.35">
      <c r="A6" s="38" t="s">
        <v>173</v>
      </c>
      <c r="B6" s="66">
        <v>2155</v>
      </c>
      <c r="C6" s="38"/>
      <c r="D6" s="38"/>
      <c r="E6" s="38"/>
    </row>
    <row r="7" spans="1:6" ht="15" customHeight="1" x14ac:dyDescent="0.35">
      <c r="A7" s="38" t="s">
        <v>174</v>
      </c>
      <c r="B7" s="66">
        <f>B6/1.2</f>
        <v>1795.8333333333335</v>
      </c>
      <c r="C7" s="38"/>
      <c r="D7" s="38"/>
      <c r="E7" s="38"/>
    </row>
    <row r="8" spans="1:6" ht="15" customHeight="1" x14ac:dyDescent="0.35">
      <c r="A8" s="38" t="s">
        <v>175</v>
      </c>
      <c r="B8" s="67">
        <v>0</v>
      </c>
      <c r="C8" s="38"/>
      <c r="D8" s="38"/>
      <c r="E8" s="38"/>
    </row>
    <row r="9" spans="1:6" ht="15" customHeight="1" x14ac:dyDescent="0.35">
      <c r="A9" s="38"/>
      <c r="B9" s="38"/>
      <c r="C9" s="38"/>
      <c r="D9" s="38"/>
      <c r="E9" s="38"/>
    </row>
    <row r="10" spans="1:6" ht="15" customHeight="1" x14ac:dyDescent="0.35">
      <c r="A10" s="38" t="s">
        <v>176</v>
      </c>
      <c r="B10" s="66">
        <f>838+150</f>
        <v>988</v>
      </c>
      <c r="C10" s="38"/>
      <c r="D10" s="38"/>
      <c r="E10" s="38"/>
    </row>
    <row r="11" spans="1:6" ht="15" customHeight="1" x14ac:dyDescent="0.35">
      <c r="A11" s="38" t="s">
        <v>425</v>
      </c>
      <c r="B11" s="66">
        <f>'Charges Variables'!C13</f>
        <v>40.57</v>
      </c>
      <c r="C11" s="38"/>
      <c r="D11" s="38"/>
      <c r="E11" s="38"/>
    </row>
    <row r="12" spans="1:6" ht="15" customHeight="1" x14ac:dyDescent="0.35">
      <c r="A12" s="38" t="s">
        <v>426</v>
      </c>
      <c r="B12" s="66">
        <f>'Charges Variables'!C17</f>
        <v>6.47</v>
      </c>
      <c r="C12" s="38"/>
      <c r="D12" s="38"/>
      <c r="E12" s="38"/>
    </row>
    <row r="13" spans="1:6" ht="15" customHeight="1" x14ac:dyDescent="0.35">
      <c r="A13" s="38" t="s">
        <v>427</v>
      </c>
      <c r="B13" s="66">
        <f>'Charges Variables'!C14</f>
        <v>18.88</v>
      </c>
      <c r="C13" s="38"/>
      <c r="D13" s="38"/>
      <c r="E13" s="38"/>
    </row>
    <row r="14" spans="1:6" ht="15" customHeight="1" x14ac:dyDescent="0.35">
      <c r="A14" s="38" t="s">
        <v>177</v>
      </c>
      <c r="B14" s="66">
        <f>ROUND(B10*'Charges Variables'!C20,2)</f>
        <v>26.68</v>
      </c>
      <c r="C14" s="38"/>
      <c r="D14" s="38"/>
      <c r="E14" s="38"/>
    </row>
    <row r="15" spans="1:6" ht="15" customHeight="1" x14ac:dyDescent="0.35">
      <c r="A15" t="s">
        <v>178</v>
      </c>
      <c r="B15">
        <f>ROUND(B10*'Charges Variables'!C21,2)</f>
        <v>19.760000000000002</v>
      </c>
      <c r="C15" s="38"/>
      <c r="D15" s="38"/>
      <c r="E15" s="38"/>
    </row>
    <row r="16" spans="1:6" ht="15" customHeight="1" x14ac:dyDescent="0.35">
      <c r="A16" s="68" t="s">
        <v>179</v>
      </c>
      <c r="B16" s="69">
        <f>SUM(B10:B15)</f>
        <v>1100.3600000000001</v>
      </c>
      <c r="C16" s="38"/>
      <c r="D16" s="38"/>
      <c r="E16" s="38"/>
    </row>
    <row r="17" spans="1:6" ht="15" customHeight="1" x14ac:dyDescent="0.35">
      <c r="A17" s="38" t="s">
        <v>186</v>
      </c>
      <c r="B17" s="66">
        <v>0</v>
      </c>
      <c r="C17" s="38"/>
      <c r="D17" s="38"/>
      <c r="E17" s="38"/>
    </row>
    <row r="18" spans="1:6" ht="15" customHeight="1" x14ac:dyDescent="0.35">
      <c r="A18" s="38"/>
      <c r="B18" s="38"/>
      <c r="C18" s="38"/>
      <c r="D18" s="38"/>
      <c r="E18" s="38"/>
    </row>
    <row r="19" spans="1:6" ht="15" customHeight="1" x14ac:dyDescent="0.35">
      <c r="A19" s="60" t="s">
        <v>180</v>
      </c>
      <c r="B19" s="70">
        <f>B7-B16-B17</f>
        <v>695.47333333333336</v>
      </c>
      <c r="C19" s="38"/>
      <c r="D19" s="38"/>
      <c r="E19" s="38"/>
    </row>
    <row r="20" spans="1:6" ht="15" customHeight="1" x14ac:dyDescent="0.35">
      <c r="A20" s="60" t="s">
        <v>181</v>
      </c>
      <c r="B20" s="71">
        <f>1/B7*B19</f>
        <v>0.38727053364269143</v>
      </c>
      <c r="C20" s="38"/>
      <c r="D20" s="38"/>
      <c r="E20" s="38"/>
    </row>
    <row r="21" spans="1:6" ht="15" customHeight="1" x14ac:dyDescent="0.35">
      <c r="A21" s="38"/>
      <c r="B21" s="38"/>
      <c r="C21" s="38"/>
      <c r="D21" s="38"/>
      <c r="E21" s="38"/>
    </row>
    <row r="22" spans="1:6" ht="15" customHeight="1" x14ac:dyDescent="0.35">
      <c r="A22" s="417" t="s">
        <v>182</v>
      </c>
      <c r="B22" s="417"/>
      <c r="C22" s="417"/>
      <c r="D22" s="417"/>
      <c r="E22" s="417"/>
      <c r="F22" s="417"/>
    </row>
    <row r="23" spans="1:6" ht="15" customHeight="1" x14ac:dyDescent="0.35">
      <c r="A23" s="419" t="s">
        <v>475</v>
      </c>
      <c r="B23" s="418"/>
      <c r="C23" s="418"/>
      <c r="D23" s="418"/>
      <c r="E23" s="418"/>
    </row>
    <row r="24" spans="1:6" ht="15" customHeight="1" x14ac:dyDescent="0.35">
      <c r="A24" s="57" t="s">
        <v>171</v>
      </c>
      <c r="B24" s="218" t="s">
        <v>438</v>
      </c>
      <c r="C24" s="57" t="s">
        <v>183</v>
      </c>
      <c r="D24" s="57" t="s">
        <v>184</v>
      </c>
    </row>
    <row r="25" spans="1:6" ht="15" customHeight="1" x14ac:dyDescent="0.35">
      <c r="A25" s="38" t="s">
        <v>173</v>
      </c>
      <c r="B25" s="66">
        <v>3450</v>
      </c>
      <c r="C25" s="66">
        <v>4200</v>
      </c>
      <c r="D25" s="66">
        <v>2800</v>
      </c>
    </row>
    <row r="26" spans="1:6" ht="15" customHeight="1" x14ac:dyDescent="0.35">
      <c r="A26" s="38" t="s">
        <v>174</v>
      </c>
      <c r="B26" s="66">
        <f>B25/1.2</f>
        <v>2875</v>
      </c>
      <c r="C26" s="66">
        <f>C25/1.2</f>
        <v>3500</v>
      </c>
      <c r="D26" s="66">
        <f>D25/1.2</f>
        <v>2333.3333333333335</v>
      </c>
    </row>
    <row r="27" spans="1:6" ht="15" customHeight="1" x14ac:dyDescent="0.35"/>
    <row r="28" spans="1:6" ht="15" customHeight="1" x14ac:dyDescent="0.35">
      <c r="A28" s="38"/>
      <c r="B28" s="66"/>
      <c r="C28" s="66"/>
      <c r="D28" s="66"/>
    </row>
    <row r="29" spans="1:6" ht="15" customHeight="1" x14ac:dyDescent="0.35"/>
    <row r="30" spans="1:6" ht="15" customHeight="1" x14ac:dyDescent="0.35">
      <c r="A30" s="38" t="s">
        <v>185</v>
      </c>
      <c r="B30" s="66">
        <f>838+150</f>
        <v>988</v>
      </c>
      <c r="C30" s="66">
        <v>1099</v>
      </c>
      <c r="D30" s="66">
        <v>680</v>
      </c>
    </row>
    <row r="31" spans="1:6" ht="15" customHeight="1" x14ac:dyDescent="0.35">
      <c r="A31" s="38" t="s">
        <v>425</v>
      </c>
      <c r="B31" s="66">
        <f>'Charges Variables'!$C$13</f>
        <v>40.57</v>
      </c>
      <c r="C31" s="66">
        <f>'Charges Variables'!$C$13</f>
        <v>40.57</v>
      </c>
      <c r="D31" s="66">
        <f>'Charges Variables'!$C$13</f>
        <v>40.57</v>
      </c>
    </row>
    <row r="32" spans="1:6" ht="15" customHeight="1" x14ac:dyDescent="0.35">
      <c r="A32" s="38" t="s">
        <v>426</v>
      </c>
      <c r="B32" s="66">
        <f>'Charges Variables'!$C$17</f>
        <v>6.47</v>
      </c>
      <c r="C32" s="66">
        <f>'Charges Variables'!$C$17</f>
        <v>6.47</v>
      </c>
      <c r="D32" s="66">
        <f>'Charges Variables'!$C$17</f>
        <v>6.47</v>
      </c>
    </row>
    <row r="33" spans="1:7" ht="15" customHeight="1" x14ac:dyDescent="0.35">
      <c r="A33" s="38" t="s">
        <v>427</v>
      </c>
      <c r="B33" s="66">
        <f>'Charges Variables'!$C$14</f>
        <v>18.88</v>
      </c>
      <c r="C33" s="66">
        <f>'Charges Variables'!$C$14</f>
        <v>18.88</v>
      </c>
      <c r="D33" s="66">
        <f>'Charges Variables'!$C$14</f>
        <v>18.88</v>
      </c>
    </row>
    <row r="34" spans="1:7" ht="15" customHeight="1" x14ac:dyDescent="0.35">
      <c r="A34" s="38" t="s">
        <v>177</v>
      </c>
      <c r="B34" s="66">
        <f>ROUND(B30*'Charges Variables'!$C$20,2)</f>
        <v>26.68</v>
      </c>
      <c r="C34" s="66">
        <f>ROUND(C30*'Charges Variables'!$C$20,2)</f>
        <v>29.67</v>
      </c>
      <c r="D34" s="66">
        <f>ROUND(D30*'Charges Variables'!$C$20,2)</f>
        <v>18.36</v>
      </c>
    </row>
    <row r="35" spans="1:7" ht="15" customHeight="1" x14ac:dyDescent="0.35">
      <c r="A35" t="s">
        <v>178</v>
      </c>
      <c r="B35">
        <f>ROUND(B30*'Charges Variables'!$C$21,2)</f>
        <v>19.760000000000002</v>
      </c>
      <c r="C35">
        <f>ROUND(C30*'Charges Variables'!$C$21,2)</f>
        <v>21.98</v>
      </c>
      <c r="D35">
        <f>ROUND(D30*'Charges Variables'!$C$21,2)</f>
        <v>13.6</v>
      </c>
    </row>
    <row r="36" spans="1:7" ht="15" customHeight="1" x14ac:dyDescent="0.35">
      <c r="A36" s="68" t="s">
        <v>179</v>
      </c>
      <c r="B36" s="69">
        <f>SUM(B30:B35)</f>
        <v>1100.3600000000001</v>
      </c>
      <c r="C36" s="69">
        <f>SUM(C30:C35)</f>
        <v>1216.5700000000002</v>
      </c>
      <c r="D36" s="69">
        <f>SUM(D30:D35)</f>
        <v>777.88000000000011</v>
      </c>
    </row>
    <row r="37" spans="1:7" ht="15" customHeight="1" x14ac:dyDescent="0.35">
      <c r="A37" s="38" t="s">
        <v>186</v>
      </c>
      <c r="B37" s="66">
        <f>0.015*B25</f>
        <v>51.75</v>
      </c>
      <c r="C37" s="66">
        <f>0.015*C25</f>
        <v>63</v>
      </c>
      <c r="D37" s="66">
        <f>0.015*D25</f>
        <v>42</v>
      </c>
    </row>
    <row r="38" spans="1:7" ht="15" customHeight="1" x14ac:dyDescent="0.35">
      <c r="A38" s="72" t="s">
        <v>435</v>
      </c>
      <c r="B38" s="73">
        <f>B26*'Charges Variables'!$C$28</f>
        <v>546.25</v>
      </c>
      <c r="C38" s="73">
        <f>C26*'Charges Variables'!$C$28</f>
        <v>665</v>
      </c>
      <c r="D38" s="73">
        <f>D26*'Charges Variables'!$C$28</f>
        <v>443.33333333333337</v>
      </c>
    </row>
    <row r="39" spans="1:7" ht="15" customHeight="1" x14ac:dyDescent="0.35">
      <c r="A39" s="60" t="s">
        <v>180</v>
      </c>
      <c r="B39" s="70">
        <f>B26-B38-B36-B37</f>
        <v>1176.6399999999999</v>
      </c>
      <c r="C39" s="70">
        <f>C26-C38-C36-C37</f>
        <v>1555.4299999999998</v>
      </c>
      <c r="D39" s="70">
        <f>D26-D38-D36-D37</f>
        <v>1070.1199999999999</v>
      </c>
    </row>
    <row r="40" spans="1:7" ht="15" customHeight="1" x14ac:dyDescent="0.35">
      <c r="A40" s="60" t="s">
        <v>181</v>
      </c>
      <c r="B40" s="71">
        <f>1/B26*B39</f>
        <v>0.40926608695652172</v>
      </c>
      <c r="C40" s="71">
        <f>1/C26*C39</f>
        <v>0.44440857142857143</v>
      </c>
      <c r="D40" s="71">
        <f>1/D26*D39</f>
        <v>0.45862285714285705</v>
      </c>
    </row>
    <row r="41" spans="1:7" ht="15" customHeight="1" x14ac:dyDescent="0.35">
      <c r="A41" s="38"/>
      <c r="B41" s="38"/>
      <c r="C41" s="38"/>
      <c r="D41" s="38"/>
      <c r="E41" s="38"/>
    </row>
    <row r="42" spans="1:7" ht="15" customHeight="1" x14ac:dyDescent="0.35">
      <c r="A42" s="415" t="s">
        <v>187</v>
      </c>
      <c r="B42" s="416"/>
      <c r="C42" s="416"/>
      <c r="D42" s="416"/>
      <c r="E42" s="416"/>
      <c r="F42" s="416"/>
    </row>
    <row r="43" spans="1:7" ht="15" customHeight="1" x14ac:dyDescent="0.35">
      <c r="A43" s="35" t="s">
        <v>188</v>
      </c>
      <c r="B43" s="35" t="s">
        <v>189</v>
      </c>
      <c r="C43" s="74" t="s">
        <v>190</v>
      </c>
      <c r="D43" s="35" t="s">
        <v>191</v>
      </c>
      <c r="E43" s="75" t="s">
        <v>192</v>
      </c>
      <c r="F43" s="75" t="s">
        <v>193</v>
      </c>
      <c r="G43" s="75" t="s">
        <v>194</v>
      </c>
    </row>
    <row r="44" spans="1:7" ht="15" customHeight="1" x14ac:dyDescent="0.35">
      <c r="A44" s="38" t="s">
        <v>195</v>
      </c>
      <c r="B44" s="38" t="s">
        <v>172</v>
      </c>
      <c r="C44" s="58">
        <f>B7</f>
        <v>1795.8333333333335</v>
      </c>
      <c r="D44" s="76">
        <f>B19</f>
        <v>695.47333333333336</v>
      </c>
      <c r="E44" s="77">
        <f>B16</f>
        <v>1100.3600000000001</v>
      </c>
      <c r="F44" s="78">
        <v>0.3</v>
      </c>
      <c r="G44" s="79">
        <f>B20</f>
        <v>0.38727053364269143</v>
      </c>
    </row>
    <row r="45" spans="1:7" ht="15" customHeight="1" x14ac:dyDescent="0.35">
      <c r="A45" s="38" t="s">
        <v>196</v>
      </c>
      <c r="B45" s="38" t="s">
        <v>172</v>
      </c>
      <c r="C45" s="58">
        <f>B26</f>
        <v>2875</v>
      </c>
      <c r="D45" s="76">
        <f>B39</f>
        <v>1176.6399999999999</v>
      </c>
      <c r="E45" s="77">
        <f>B36</f>
        <v>1100.3600000000001</v>
      </c>
      <c r="F45" s="78">
        <v>0.2</v>
      </c>
      <c r="G45" s="79">
        <f>B40</f>
        <v>0.40926608695652172</v>
      </c>
    </row>
    <row r="46" spans="1:7" ht="15" customHeight="1" x14ac:dyDescent="0.35">
      <c r="A46" s="38" t="s">
        <v>196</v>
      </c>
      <c r="B46" s="38" t="s">
        <v>183</v>
      </c>
      <c r="C46" s="58">
        <f>C26</f>
        <v>3500</v>
      </c>
      <c r="D46" s="76">
        <f>C39</f>
        <v>1555.4299999999998</v>
      </c>
      <c r="E46" s="77">
        <f>C36</f>
        <v>1216.5700000000002</v>
      </c>
      <c r="F46" s="78">
        <v>0.25</v>
      </c>
      <c r="G46" s="79">
        <f>C40</f>
        <v>0.44440857142857143</v>
      </c>
    </row>
    <row r="47" spans="1:7" ht="15" customHeight="1" x14ac:dyDescent="0.35">
      <c r="A47" s="38" t="s">
        <v>196</v>
      </c>
      <c r="B47" s="38" t="s">
        <v>184</v>
      </c>
      <c r="C47" s="58">
        <f>D26</f>
        <v>2333.3333333333335</v>
      </c>
      <c r="D47" s="76">
        <f>D39</f>
        <v>1070.1199999999999</v>
      </c>
      <c r="E47" s="77">
        <f>D36</f>
        <v>777.88000000000011</v>
      </c>
      <c r="F47" s="78">
        <v>0.25</v>
      </c>
      <c r="G47" s="79">
        <f>D40</f>
        <v>0.45862285714285705</v>
      </c>
    </row>
    <row r="48" spans="1:7" ht="15" customHeight="1" thickBot="1" x14ac:dyDescent="0.4"/>
    <row r="49" spans="1:7" ht="15.75" customHeight="1" thickBot="1" x14ac:dyDescent="0.4">
      <c r="A49" s="80" t="s">
        <v>590</v>
      </c>
      <c r="B49" s="81"/>
      <c r="C49" s="82">
        <f>(C44*F44)+(C45*F45)+(C46*F46)+(C47*F47)</f>
        <v>2572.0833333333335</v>
      </c>
      <c r="D49" s="83">
        <f>(D44*F44)+(D45*F45)+(D46*F46)+(D47*F47)</f>
        <v>1100.3574999999998</v>
      </c>
      <c r="E49" s="83">
        <f>(E44*F44)+(E45*F45)+(E46*F46)+(E47*F47)</f>
        <v>1048.7925</v>
      </c>
      <c r="F49" s="83"/>
      <c r="G49" s="388">
        <f>1/C49*D49</f>
        <v>0.42780787299530199</v>
      </c>
    </row>
    <row r="50" spans="1:7" ht="15" thickBot="1" x14ac:dyDescent="0.4">
      <c r="G50" s="388"/>
    </row>
    <row r="51" spans="1:7" ht="16" thickBot="1" x14ac:dyDescent="0.4">
      <c r="A51" s="389" t="s">
        <v>591</v>
      </c>
      <c r="B51" s="389"/>
      <c r="C51" s="390">
        <f>C49*1.05</f>
        <v>2700.6875000000005</v>
      </c>
      <c r="D51" s="390">
        <f>C51-(C49-D49)</f>
        <v>1228.9616666666668</v>
      </c>
      <c r="E51" s="391">
        <f>E49</f>
        <v>1048.7925</v>
      </c>
      <c r="F51" s="389"/>
      <c r="G51" s="392">
        <f t="shared" ref="G51" si="0">1/C51*D51</f>
        <v>0.45505511713838293</v>
      </c>
    </row>
  </sheetData>
  <mergeCells count="6">
    <mergeCell ref="A42:F42"/>
    <mergeCell ref="A1:E1"/>
    <mergeCell ref="A3:F3"/>
    <mergeCell ref="A4:E4"/>
    <mergeCell ref="A22:F22"/>
    <mergeCell ref="A23:E23"/>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107"/>
  <sheetViews>
    <sheetView zoomScaleNormal="100" workbookViewId="0">
      <selection activeCell="B14" sqref="B14"/>
    </sheetView>
  </sheetViews>
  <sheetFormatPr baseColWidth="10" defaultColWidth="8.6328125" defaultRowHeight="14.5" x14ac:dyDescent="0.35"/>
  <cols>
    <col min="1" max="1" width="45" customWidth="1"/>
    <col min="2" max="2" width="23.453125" customWidth="1"/>
    <col min="3" max="3" width="18" customWidth="1"/>
    <col min="4" max="4" width="15" customWidth="1"/>
  </cols>
  <sheetData>
    <row r="1" spans="1:4" ht="19.5" customHeight="1" x14ac:dyDescent="0.4">
      <c r="A1" s="399" t="s">
        <v>197</v>
      </c>
      <c r="B1" s="399"/>
      <c r="C1" s="399"/>
      <c r="D1" s="399"/>
    </row>
    <row r="3" spans="1:4" ht="15" customHeight="1" x14ac:dyDescent="0.35">
      <c r="A3" s="426" t="s">
        <v>198</v>
      </c>
      <c r="B3" s="427"/>
      <c r="C3" s="427"/>
      <c r="D3" s="428"/>
    </row>
    <row r="4" spans="1:4" ht="15" customHeight="1" x14ac:dyDescent="0.35">
      <c r="A4" s="232" t="s">
        <v>199</v>
      </c>
      <c r="B4" s="232" t="s">
        <v>200</v>
      </c>
      <c r="C4" s="232" t="s">
        <v>8</v>
      </c>
      <c r="D4" s="232" t="s">
        <v>201</v>
      </c>
    </row>
    <row r="5" spans="1:4" ht="15" customHeight="1" x14ac:dyDescent="0.35">
      <c r="A5" s="160" t="s">
        <v>66</v>
      </c>
      <c r="B5" s="173">
        <v>104000</v>
      </c>
      <c r="C5" s="173">
        <v>55000</v>
      </c>
      <c r="D5" s="233">
        <v>0.55000000000000004</v>
      </c>
    </row>
    <row r="6" spans="1:4" ht="15" customHeight="1" x14ac:dyDescent="0.35">
      <c r="A6" s="160" t="s">
        <v>12</v>
      </c>
      <c r="B6" s="173">
        <v>85000</v>
      </c>
      <c r="C6" s="173">
        <v>45000</v>
      </c>
      <c r="D6" s="233">
        <v>0.45</v>
      </c>
    </row>
    <row r="7" spans="1:4" ht="15" customHeight="1" x14ac:dyDescent="0.35">
      <c r="A7" s="234" t="s">
        <v>202</v>
      </c>
      <c r="B7" s="235">
        <f>SUM(B5:B6)</f>
        <v>189000</v>
      </c>
      <c r="C7" s="235">
        <f>SUM(C5:C6)</f>
        <v>100000</v>
      </c>
      <c r="D7" s="236">
        <f>SUM(D5:D6)</f>
        <v>1</v>
      </c>
    </row>
    <row r="8" spans="1:4" ht="15" customHeight="1" x14ac:dyDescent="0.35">
      <c r="A8" s="423" t="s">
        <v>223</v>
      </c>
      <c r="B8" s="424"/>
      <c r="C8" s="424"/>
      <c r="D8" s="425"/>
    </row>
    <row r="9" spans="1:4" ht="15" customHeight="1" x14ac:dyDescent="0.35">
      <c r="A9" s="217"/>
      <c r="B9" s="231"/>
      <c r="C9" s="231"/>
      <c r="D9" s="231"/>
    </row>
    <row r="10" spans="1:4" ht="15" customHeight="1" x14ac:dyDescent="0.35">
      <c r="B10" s="239"/>
      <c r="C10" s="239"/>
      <c r="D10" s="239"/>
    </row>
    <row r="11" spans="1:4" ht="15" customHeight="1" x14ac:dyDescent="0.35">
      <c r="A11" s="429" t="s">
        <v>203</v>
      </c>
      <c r="B11" s="430"/>
      <c r="C11" s="430"/>
      <c r="D11" s="431"/>
    </row>
    <row r="12" spans="1:4" ht="15" customHeight="1" x14ac:dyDescent="0.35">
      <c r="A12" s="254" t="s">
        <v>204</v>
      </c>
      <c r="B12" s="57" t="s">
        <v>27</v>
      </c>
      <c r="C12" s="57" t="s">
        <v>48</v>
      </c>
      <c r="D12" s="255" t="s">
        <v>140</v>
      </c>
    </row>
    <row r="13" spans="1:4" ht="15" customHeight="1" x14ac:dyDescent="0.35">
      <c r="A13" s="249" t="s">
        <v>205</v>
      </c>
      <c r="B13" s="58">
        <f>'Emprunt Bancaire'!B4</f>
        <v>189000</v>
      </c>
      <c r="C13" s="38" t="s">
        <v>14</v>
      </c>
      <c r="D13" s="256">
        <v>2026</v>
      </c>
    </row>
    <row r="14" spans="1:4" ht="15" customHeight="1" x14ac:dyDescent="0.35">
      <c r="A14" s="257" t="s">
        <v>206</v>
      </c>
      <c r="B14" s="258">
        <f>B13</f>
        <v>189000</v>
      </c>
      <c r="C14" s="259"/>
      <c r="D14" s="260"/>
    </row>
    <row r="15" spans="1:4" ht="15" customHeight="1" x14ac:dyDescent="0.35">
      <c r="A15" s="33"/>
      <c r="B15" s="237"/>
    </row>
    <row r="16" spans="1:4" ht="15" customHeight="1" x14ac:dyDescent="0.35"/>
    <row r="17" spans="1:4" ht="15" customHeight="1" x14ac:dyDescent="0.35">
      <c r="A17" s="432" t="s">
        <v>207</v>
      </c>
      <c r="B17" s="433"/>
      <c r="C17" s="433"/>
      <c r="D17" s="434"/>
    </row>
    <row r="18" spans="1:4" ht="15" customHeight="1" x14ac:dyDescent="0.35">
      <c r="A18" s="254" t="s">
        <v>204</v>
      </c>
      <c r="B18" s="57" t="s">
        <v>27</v>
      </c>
      <c r="C18" s="57" t="s">
        <v>208</v>
      </c>
      <c r="D18" s="255" t="s">
        <v>140</v>
      </c>
    </row>
    <row r="19" spans="1:4" ht="15" customHeight="1" x14ac:dyDescent="0.35">
      <c r="A19" s="249" t="s">
        <v>209</v>
      </c>
      <c r="B19" s="58">
        <v>50000</v>
      </c>
      <c r="C19" s="38" t="s">
        <v>210</v>
      </c>
      <c r="D19" s="256" t="s">
        <v>154</v>
      </c>
    </row>
    <row r="20" spans="1:4" ht="15" customHeight="1" x14ac:dyDescent="0.35">
      <c r="A20" s="420" t="s">
        <v>211</v>
      </c>
      <c r="B20" s="421"/>
      <c r="C20" s="421"/>
      <c r="D20" s="422"/>
    </row>
    <row r="21" spans="1:4" ht="15" customHeight="1" x14ac:dyDescent="0.35">
      <c r="A21" s="248"/>
      <c r="B21" s="248"/>
      <c r="C21" s="248"/>
      <c r="D21" s="248"/>
    </row>
    <row r="22" spans="1:4" ht="15" customHeight="1" x14ac:dyDescent="0.35">
      <c r="A22" s="444" t="s">
        <v>212</v>
      </c>
      <c r="B22" s="445"/>
      <c r="C22" s="445"/>
      <c r="D22" s="446"/>
    </row>
    <row r="23" spans="1:4" ht="15" customHeight="1" x14ac:dyDescent="0.35">
      <c r="A23" s="249" t="s">
        <v>213</v>
      </c>
      <c r="B23" s="58">
        <f>B7</f>
        <v>189000</v>
      </c>
      <c r="C23" s="38"/>
      <c r="D23" s="243"/>
    </row>
    <row r="24" spans="1:4" ht="15" customHeight="1" x14ac:dyDescent="0.35">
      <c r="A24" s="249" t="s">
        <v>214</v>
      </c>
      <c r="B24" s="58">
        <f>B14</f>
        <v>189000</v>
      </c>
      <c r="C24" s="38"/>
      <c r="D24" s="243"/>
    </row>
    <row r="25" spans="1:4" ht="15" customHeight="1" x14ac:dyDescent="0.35">
      <c r="A25" s="249" t="s">
        <v>215</v>
      </c>
      <c r="B25" s="58">
        <f>B19</f>
        <v>50000</v>
      </c>
      <c r="C25" s="38"/>
      <c r="D25" s="243"/>
    </row>
    <row r="26" spans="1:4" ht="17.25" customHeight="1" x14ac:dyDescent="0.35">
      <c r="A26" s="250" t="s">
        <v>216</v>
      </c>
      <c r="B26" s="251">
        <f>SUM(B23:B25)</f>
        <v>428000</v>
      </c>
      <c r="C26" s="252"/>
      <c r="D26" s="253"/>
    </row>
    <row r="27" spans="1:4" ht="15" customHeight="1" x14ac:dyDescent="0.35">
      <c r="A27" s="248"/>
      <c r="B27" s="248"/>
      <c r="C27" s="248"/>
      <c r="D27" s="248"/>
    </row>
    <row r="28" spans="1:4" ht="15" customHeight="1" x14ac:dyDescent="0.35">
      <c r="A28" s="429" t="s">
        <v>217</v>
      </c>
      <c r="B28" s="430"/>
      <c r="C28" s="430"/>
      <c r="D28" s="431"/>
    </row>
    <row r="29" spans="1:4" ht="15" customHeight="1" x14ac:dyDescent="0.35">
      <c r="A29" s="240" t="s">
        <v>140</v>
      </c>
      <c r="B29" s="238" t="s">
        <v>218</v>
      </c>
      <c r="C29" s="238" t="s">
        <v>219</v>
      </c>
      <c r="D29" s="241"/>
    </row>
    <row r="30" spans="1:4" ht="15" customHeight="1" x14ac:dyDescent="0.35">
      <c r="A30" s="242" t="s">
        <v>220</v>
      </c>
      <c r="B30" s="230">
        <v>0</v>
      </c>
      <c r="D30" s="243"/>
    </row>
    <row r="31" spans="1:4" ht="15" customHeight="1" x14ac:dyDescent="0.35">
      <c r="A31" s="242" t="s">
        <v>153</v>
      </c>
      <c r="B31" s="229">
        <f>B23+B24</f>
        <v>378000</v>
      </c>
      <c r="C31" s="38" t="s">
        <v>221</v>
      </c>
      <c r="D31" s="243"/>
    </row>
    <row r="32" spans="1:4" ht="15" customHeight="1" x14ac:dyDescent="0.35">
      <c r="A32" s="242" t="s">
        <v>154</v>
      </c>
      <c r="B32" s="59">
        <f>B25</f>
        <v>50000</v>
      </c>
      <c r="C32" s="38" t="s">
        <v>209</v>
      </c>
      <c r="D32" s="243"/>
    </row>
    <row r="33" spans="1:4" ht="15" customHeight="1" x14ac:dyDescent="0.35">
      <c r="A33" s="244" t="s">
        <v>222</v>
      </c>
      <c r="B33" s="245">
        <v>0</v>
      </c>
      <c r="C33" s="246" t="s">
        <v>162</v>
      </c>
      <c r="D33" s="247"/>
    </row>
    <row r="34" spans="1:4" ht="15" customHeight="1" x14ac:dyDescent="0.35">
      <c r="A34" s="231"/>
      <c r="B34" s="231"/>
      <c r="C34" s="231"/>
      <c r="D34" s="231"/>
    </row>
    <row r="35" spans="1:4" ht="15" customHeight="1" x14ac:dyDescent="0.35"/>
    <row r="36" spans="1:4" ht="17.25" customHeight="1" x14ac:dyDescent="0.35"/>
    <row r="37" spans="1:4" ht="15" customHeight="1" x14ac:dyDescent="0.35"/>
    <row r="38" spans="1:4" ht="15" customHeight="1" x14ac:dyDescent="0.35">
      <c r="A38" s="261" t="s">
        <v>224</v>
      </c>
      <c r="B38" s="262"/>
      <c r="C38" s="262"/>
      <c r="D38" s="263"/>
    </row>
    <row r="39" spans="1:4" ht="15" customHeight="1" x14ac:dyDescent="0.35">
      <c r="A39" s="264" t="s">
        <v>439</v>
      </c>
      <c r="B39" t="s">
        <v>8</v>
      </c>
      <c r="C39" s="84">
        <v>100000</v>
      </c>
      <c r="D39" s="265"/>
    </row>
    <row r="40" spans="1:4" x14ac:dyDescent="0.35">
      <c r="A40" s="264" t="s">
        <v>225</v>
      </c>
      <c r="B40" t="s">
        <v>226</v>
      </c>
      <c r="C40" s="84">
        <v>89000</v>
      </c>
      <c r="D40" s="112"/>
    </row>
    <row r="41" spans="1:4" x14ac:dyDescent="0.35">
      <c r="A41" s="264" t="s">
        <v>440</v>
      </c>
      <c r="B41" t="s">
        <v>227</v>
      </c>
      <c r="C41" s="84">
        <v>189000</v>
      </c>
      <c r="D41" s="112"/>
    </row>
    <row r="42" spans="1:4" ht="15" customHeight="1" x14ac:dyDescent="0.35">
      <c r="A42" s="266" t="s">
        <v>228</v>
      </c>
      <c r="B42" s="120" t="s">
        <v>229</v>
      </c>
      <c r="C42" s="267">
        <v>50000</v>
      </c>
      <c r="D42" s="121"/>
    </row>
    <row r="43" spans="1:4" ht="15" customHeight="1" x14ac:dyDescent="0.35">
      <c r="C43" s="84"/>
    </row>
    <row r="44" spans="1:4" ht="15" customHeight="1" x14ac:dyDescent="0.35"/>
    <row r="45" spans="1:4" ht="15" customHeight="1" x14ac:dyDescent="0.35"/>
    <row r="46" spans="1:4" ht="15" customHeight="1" x14ac:dyDescent="0.35"/>
    <row r="47" spans="1:4" ht="15" customHeight="1" x14ac:dyDescent="0.35">
      <c r="A47" s="268" t="s">
        <v>441</v>
      </c>
      <c r="B47" s="269"/>
      <c r="C47" s="269"/>
      <c r="D47" s="270"/>
    </row>
    <row r="48" spans="1:4" ht="15" customHeight="1" x14ac:dyDescent="0.35">
      <c r="A48" s="271" t="s">
        <v>442</v>
      </c>
      <c r="B48" s="199"/>
      <c r="C48" s="199"/>
      <c r="D48" s="272"/>
    </row>
    <row r="49" spans="1:4" x14ac:dyDescent="0.35">
      <c r="A49" s="111"/>
      <c r="D49" s="112"/>
    </row>
    <row r="50" spans="1:4" ht="35.5" customHeight="1" x14ac:dyDescent="0.35">
      <c r="A50" s="441" t="s">
        <v>443</v>
      </c>
      <c r="B50" s="442"/>
      <c r="C50" s="442"/>
      <c r="D50" s="443"/>
    </row>
    <row r="51" spans="1:4" ht="15" customHeight="1" x14ac:dyDescent="0.35">
      <c r="A51" s="111"/>
      <c r="D51" s="112"/>
    </row>
    <row r="52" spans="1:4" ht="14.25" customHeight="1" x14ac:dyDescent="0.35">
      <c r="A52" s="273" t="s">
        <v>444</v>
      </c>
      <c r="D52" s="112"/>
    </row>
    <row r="53" spans="1:4" x14ac:dyDescent="0.35">
      <c r="A53" s="111"/>
      <c r="D53" s="112"/>
    </row>
    <row r="54" spans="1:4" ht="32" customHeight="1" x14ac:dyDescent="0.35">
      <c r="A54" s="435" t="s">
        <v>445</v>
      </c>
      <c r="B54" s="436"/>
      <c r="C54" s="436"/>
      <c r="D54" s="437"/>
    </row>
    <row r="55" spans="1:4" ht="14.25" customHeight="1" x14ac:dyDescent="0.35">
      <c r="A55" s="111"/>
      <c r="D55" s="112"/>
    </row>
    <row r="56" spans="1:4" ht="35.5" customHeight="1" x14ac:dyDescent="0.35">
      <c r="A56" s="438" t="s">
        <v>446</v>
      </c>
      <c r="B56" s="439"/>
      <c r="C56" s="439"/>
      <c r="D56" s="440"/>
    </row>
    <row r="57" spans="1:4" ht="15" customHeight="1" x14ac:dyDescent="0.35"/>
    <row r="58" spans="1:4" ht="15" customHeight="1" x14ac:dyDescent="0.35">
      <c r="A58" s="33"/>
    </row>
    <row r="59" spans="1:4" ht="15" customHeight="1" x14ac:dyDescent="0.35">
      <c r="A59" s="33"/>
    </row>
    <row r="60" spans="1:4" ht="15" customHeight="1" x14ac:dyDescent="0.35">
      <c r="A60" s="33"/>
    </row>
    <row r="61" spans="1:4" ht="15" customHeight="1" x14ac:dyDescent="0.35"/>
    <row r="62" spans="1:4" ht="15" customHeight="1" x14ac:dyDescent="0.35"/>
    <row r="63" spans="1:4" ht="15" customHeight="1" x14ac:dyDescent="0.35">
      <c r="A63" s="33"/>
      <c r="B63" s="33"/>
    </row>
    <row r="64" spans="1:4" ht="14.25" customHeight="1" x14ac:dyDescent="0.35"/>
    <row r="65" spans="1:2" ht="14.25" customHeight="1" x14ac:dyDescent="0.35"/>
    <row r="66" spans="1:2" ht="14.25" customHeight="1" x14ac:dyDescent="0.35">
      <c r="A66" s="33"/>
    </row>
    <row r="67" spans="1:2" ht="14.25" customHeight="1" x14ac:dyDescent="0.35"/>
    <row r="68" spans="1:2" ht="14.25" customHeight="1" x14ac:dyDescent="0.35"/>
    <row r="69" spans="1:2" ht="14.25" customHeight="1" x14ac:dyDescent="0.35"/>
    <row r="70" spans="1:2" ht="14.25" customHeight="1" x14ac:dyDescent="0.35"/>
    <row r="71" spans="1:2" ht="14.25" customHeight="1" x14ac:dyDescent="0.35">
      <c r="A71" s="33"/>
    </row>
    <row r="72" spans="1:2" ht="14.25" customHeight="1" x14ac:dyDescent="0.35"/>
    <row r="73" spans="1:2" ht="14.25" customHeight="1" x14ac:dyDescent="0.35"/>
    <row r="74" spans="1:2" ht="14.25" customHeight="1" x14ac:dyDescent="0.35">
      <c r="A74" s="33"/>
      <c r="B74" s="33"/>
    </row>
    <row r="75" spans="1:2" ht="14.25" customHeight="1" x14ac:dyDescent="0.35">
      <c r="A75" s="33"/>
    </row>
    <row r="76" spans="1:2" ht="14.25" customHeight="1" x14ac:dyDescent="0.35"/>
    <row r="77" spans="1:2" ht="14.25" customHeight="1" x14ac:dyDescent="0.35"/>
    <row r="78" spans="1:2" ht="14.25" customHeight="1" x14ac:dyDescent="0.35"/>
    <row r="79" spans="1:2" ht="14.25" customHeight="1" x14ac:dyDescent="0.35"/>
    <row r="81" spans="1:2" ht="14.25" customHeight="1" x14ac:dyDescent="0.35">
      <c r="A81" s="33"/>
      <c r="B81" s="33"/>
    </row>
    <row r="82" spans="1:2" ht="14.25" customHeight="1" x14ac:dyDescent="0.35"/>
    <row r="83" spans="1:2" ht="14.25" customHeight="1" x14ac:dyDescent="0.35"/>
    <row r="84" spans="1:2" ht="14.25" customHeight="1" x14ac:dyDescent="0.35"/>
    <row r="85" spans="1:2" ht="14.25" customHeight="1" x14ac:dyDescent="0.35"/>
    <row r="86" spans="1:2" x14ac:dyDescent="0.35">
      <c r="A86" s="33"/>
      <c r="B86" s="33"/>
    </row>
    <row r="87" spans="1:2" ht="14.25" customHeight="1" x14ac:dyDescent="0.35"/>
    <row r="88" spans="1:2" ht="14.25" customHeight="1" x14ac:dyDescent="0.35"/>
    <row r="90" spans="1:2" ht="14.25" customHeight="1" x14ac:dyDescent="0.35"/>
    <row r="92" spans="1:2" ht="14.25" customHeight="1" x14ac:dyDescent="0.35"/>
    <row r="93" spans="1:2" ht="14.25" customHeight="1" x14ac:dyDescent="0.35"/>
    <row r="95" spans="1:2" ht="14.25" customHeight="1" x14ac:dyDescent="0.35"/>
    <row r="96" spans="1:2" ht="14.25" customHeight="1" x14ac:dyDescent="0.35"/>
    <row r="97" ht="14.25" customHeight="1" x14ac:dyDescent="0.35"/>
    <row r="98" ht="14.25" customHeight="1" x14ac:dyDescent="0.35"/>
    <row r="99" ht="14.25" customHeight="1" x14ac:dyDescent="0.35"/>
    <row r="100" ht="14.25" customHeight="1" x14ac:dyDescent="0.35"/>
    <row r="102" ht="14.25" customHeight="1" x14ac:dyDescent="0.35"/>
    <row r="103" ht="14.25" customHeight="1" x14ac:dyDescent="0.35"/>
    <row r="104" ht="14.25" customHeight="1" x14ac:dyDescent="0.35"/>
    <row r="106" ht="14.25" customHeight="1" x14ac:dyDescent="0.35"/>
    <row r="107" ht="14.25" customHeight="1" x14ac:dyDescent="0.35"/>
  </sheetData>
  <mergeCells count="11">
    <mergeCell ref="A54:D54"/>
    <mergeCell ref="A56:D56"/>
    <mergeCell ref="A50:D50"/>
    <mergeCell ref="A22:D22"/>
    <mergeCell ref="A28:D28"/>
    <mergeCell ref="A20:D20"/>
    <mergeCell ref="A8:D8"/>
    <mergeCell ref="A1:D1"/>
    <mergeCell ref="A3:D3"/>
    <mergeCell ref="A11:D11"/>
    <mergeCell ref="A17:D17"/>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H45"/>
  <sheetViews>
    <sheetView zoomScaleNormal="100" workbookViewId="0">
      <selection activeCell="I35" sqref="I35"/>
    </sheetView>
  </sheetViews>
  <sheetFormatPr baseColWidth="10" defaultColWidth="8.6328125" defaultRowHeight="14.5" x14ac:dyDescent="0.35"/>
  <cols>
    <col min="1" max="1" width="35" customWidth="1"/>
    <col min="2" max="4" width="12" customWidth="1"/>
    <col min="5" max="5" width="13.7265625" bestFit="1" customWidth="1"/>
    <col min="6" max="6" width="18.81640625" customWidth="1"/>
    <col min="7" max="7" width="12" customWidth="1"/>
    <col min="8" max="8" width="13.81640625" customWidth="1"/>
  </cols>
  <sheetData>
    <row r="1" spans="1:8" ht="19.5" customHeight="1" x14ac:dyDescent="0.4">
      <c r="A1" s="399" t="s">
        <v>230</v>
      </c>
      <c r="B1" s="399"/>
      <c r="C1" s="399"/>
      <c r="D1" s="399"/>
      <c r="E1" s="399"/>
      <c r="F1" s="399"/>
      <c r="G1" s="399"/>
      <c r="H1" s="399"/>
    </row>
    <row r="3" spans="1:8" ht="14.25" customHeight="1" x14ac:dyDescent="0.35">
      <c r="A3" s="448" t="s">
        <v>447</v>
      </c>
      <c r="B3" s="448"/>
      <c r="C3" s="448"/>
      <c r="D3" s="448"/>
      <c r="E3" s="448"/>
      <c r="F3" s="448"/>
    </row>
    <row r="4" spans="1:8" ht="14.25" customHeight="1" x14ac:dyDescent="0.35">
      <c r="A4" s="160" t="str">
        <f t="array" ref="A4:F4">'Marges Produits'!A43:F43</f>
        <v>Canal de vente</v>
      </c>
      <c r="B4" s="160" t="str">
        <v>Produit</v>
      </c>
      <c r="C4" s="160" t="str">
        <v>Prix HT</v>
      </c>
      <c r="D4" s="160" t="str">
        <v>Marge €</v>
      </c>
      <c r="E4" s="160" t="str">
        <v>Cout de reviens</v>
      </c>
      <c r="F4" s="160" t="str">
        <v xml:space="preserve">Proportions des ventes </v>
      </c>
    </row>
    <row r="5" spans="1:8" ht="15" customHeight="1" x14ac:dyDescent="0.35">
      <c r="A5" s="160" t="str">
        <f t="array" ref="A5:F5">'Marges Produits'!A44:F44</f>
        <v>School Pack</v>
      </c>
      <c r="B5" s="160" t="str">
        <v>A+ Classic</v>
      </c>
      <c r="C5" s="274">
        <v>1795.8333333333335</v>
      </c>
      <c r="D5" s="274">
        <v>695.47333333333336</v>
      </c>
      <c r="E5" s="275">
        <v>1100.3600000000001</v>
      </c>
      <c r="F5" s="276">
        <v>0.3</v>
      </c>
    </row>
    <row r="6" spans="1:8" ht="15" customHeight="1" x14ac:dyDescent="0.35">
      <c r="A6" s="160" t="str">
        <f t="array" ref="A6:F6">'Marges Produits'!A45:F45</f>
        <v>B2B2C</v>
      </c>
      <c r="B6" s="160" t="str">
        <v>A+ Classic</v>
      </c>
      <c r="C6" s="274">
        <v>2875</v>
      </c>
      <c r="D6" s="274">
        <v>1176.6399999999999</v>
      </c>
      <c r="E6" s="275">
        <v>1100.3600000000001</v>
      </c>
      <c r="F6" s="276">
        <v>0.2</v>
      </c>
    </row>
    <row r="7" spans="1:8" ht="15" customHeight="1" x14ac:dyDescent="0.35">
      <c r="A7" s="160" t="str">
        <f t="array" ref="A7:F7">'Marges Produits'!A46:F46</f>
        <v>B2B2C</v>
      </c>
      <c r="B7" s="160" t="str">
        <v>B- Ultra</v>
      </c>
      <c r="C7" s="274">
        <v>3500</v>
      </c>
      <c r="D7" s="274">
        <v>1555.4299999999998</v>
      </c>
      <c r="E7" s="275">
        <v>1216.5700000000002</v>
      </c>
      <c r="F7" s="276">
        <v>0.25</v>
      </c>
    </row>
    <row r="8" spans="1:8" ht="15" customHeight="1" x14ac:dyDescent="0.35">
      <c r="A8" s="160" t="str">
        <f t="array" ref="A8:F8">'Marges Produits'!A47:F47</f>
        <v>B2B2C</v>
      </c>
      <c r="B8" s="160" t="str">
        <v>K2- Ultra</v>
      </c>
      <c r="C8" s="274">
        <v>2333.3333333333335</v>
      </c>
      <c r="D8" s="274">
        <v>1070.1199999999999</v>
      </c>
      <c r="E8" s="275">
        <v>777.88000000000011</v>
      </c>
      <c r="F8" s="276">
        <v>0.25</v>
      </c>
    </row>
    <row r="9" spans="1:8" ht="15" customHeight="1" x14ac:dyDescent="0.35"/>
    <row r="10" spans="1:8" ht="15" customHeight="1" x14ac:dyDescent="0.35">
      <c r="A10" t="str">
        <f t="array" ref="A10:E10">'Marges Produits'!A49:E49</f>
        <v>Hypothese 1: prix moyen / produit</v>
      </c>
      <c r="B10" s="87">
        <v>0</v>
      </c>
      <c r="C10" s="63">
        <v>2572.0833333333335</v>
      </c>
      <c r="D10" s="63">
        <v>1100.3574999999998</v>
      </c>
      <c r="E10" s="87">
        <v>1048.7925</v>
      </c>
    </row>
    <row r="11" spans="1:8" ht="15" customHeight="1" x14ac:dyDescent="0.35"/>
    <row r="12" spans="1:8" ht="15" customHeight="1" x14ac:dyDescent="0.35">
      <c r="A12" s="38"/>
      <c r="B12" s="38"/>
      <c r="C12" s="38"/>
      <c r="D12" s="38"/>
      <c r="E12" s="38"/>
      <c r="F12" s="38"/>
      <c r="G12" s="38"/>
      <c r="H12" s="38"/>
    </row>
    <row r="13" spans="1:8" ht="15" customHeight="1" x14ac:dyDescent="0.35">
      <c r="A13" s="447" t="s">
        <v>231</v>
      </c>
      <c r="B13" s="447"/>
      <c r="C13" s="447"/>
      <c r="D13" s="447"/>
      <c r="E13" s="447"/>
      <c r="F13" s="447"/>
      <c r="G13" s="447"/>
      <c r="H13" s="447"/>
    </row>
    <row r="14" spans="1:8" ht="15" customHeight="1" x14ac:dyDescent="0.35">
      <c r="A14" s="88" t="s">
        <v>140</v>
      </c>
      <c r="B14" s="57">
        <v>2025</v>
      </c>
      <c r="C14" s="57">
        <v>2026</v>
      </c>
      <c r="D14" s="57">
        <v>2027</v>
      </c>
      <c r="E14" s="57">
        <v>2028</v>
      </c>
      <c r="F14" s="57">
        <v>2029</v>
      </c>
      <c r="G14" s="57">
        <v>2030</v>
      </c>
      <c r="H14" s="57">
        <v>2031</v>
      </c>
    </row>
    <row r="15" spans="1:8" ht="15" customHeight="1" x14ac:dyDescent="0.35">
      <c r="A15" s="89"/>
      <c r="B15" s="90"/>
      <c r="C15" s="90"/>
      <c r="D15" s="90"/>
      <c r="E15" s="90"/>
      <c r="F15" s="90"/>
      <c r="G15" s="90"/>
      <c r="H15" s="90"/>
    </row>
    <row r="16" spans="1:8" ht="15" customHeight="1" x14ac:dyDescent="0.35">
      <c r="A16" s="91" t="s">
        <v>232</v>
      </c>
      <c r="B16" s="92">
        <v>0</v>
      </c>
      <c r="C16" s="92">
        <v>75</v>
      </c>
      <c r="D16" s="92">
        <v>250</v>
      </c>
      <c r="E16" s="92">
        <v>550</v>
      </c>
      <c r="F16" s="92">
        <v>800</v>
      </c>
      <c r="G16" s="92">
        <v>1000</v>
      </c>
      <c r="H16" s="92">
        <v>1000</v>
      </c>
    </row>
    <row r="17" spans="1:8" ht="15" customHeight="1" x14ac:dyDescent="0.35">
      <c r="A17" s="93" t="s">
        <v>233</v>
      </c>
      <c r="B17" s="94">
        <f>'Analyse Point Mort'!B19</f>
        <v>0</v>
      </c>
      <c r="C17" s="94">
        <f>'Analyse Point Mort'!C19</f>
        <v>0</v>
      </c>
      <c r="D17" s="94">
        <f>'Analyse Point Mort'!D19</f>
        <v>139</v>
      </c>
      <c r="E17" s="94">
        <f>'Analyse Point Mort'!E19</f>
        <v>242</v>
      </c>
      <c r="F17" s="94">
        <f>'Analyse Point Mort'!F19</f>
        <v>242</v>
      </c>
      <c r="G17" s="94">
        <f>'Analyse Point Mort'!G19</f>
        <v>187</v>
      </c>
      <c r="H17" s="94">
        <f>'Analyse Point Mort'!H19</f>
        <v>187</v>
      </c>
    </row>
    <row r="18" spans="1:8" ht="15" customHeight="1" x14ac:dyDescent="0.35">
      <c r="A18" s="38"/>
      <c r="B18" s="38"/>
      <c r="C18" s="38"/>
      <c r="D18" s="38"/>
      <c r="E18" s="38"/>
      <c r="F18" s="38"/>
      <c r="G18" s="38"/>
      <c r="H18" s="38"/>
    </row>
    <row r="19" spans="1:8" ht="15" customHeight="1" x14ac:dyDescent="0.35">
      <c r="A19" s="449" t="s">
        <v>234</v>
      </c>
      <c r="B19" s="449"/>
      <c r="C19" s="449"/>
      <c r="D19" s="449"/>
      <c r="E19" s="449"/>
      <c r="F19" s="449"/>
      <c r="G19" s="449"/>
      <c r="H19" s="449"/>
    </row>
    <row r="20" spans="1:8" ht="15" customHeight="1" x14ac:dyDescent="0.35">
      <c r="A20" s="60" t="s">
        <v>235</v>
      </c>
      <c r="B20" s="95">
        <f t="shared" ref="B20:H20" si="0">B16</f>
        <v>0</v>
      </c>
      <c r="C20" s="95">
        <f t="shared" si="0"/>
        <v>75</v>
      </c>
      <c r="D20" s="95">
        <f t="shared" si="0"/>
        <v>250</v>
      </c>
      <c r="E20" s="95">
        <f t="shared" si="0"/>
        <v>550</v>
      </c>
      <c r="F20" s="95">
        <f t="shared" si="0"/>
        <v>800</v>
      </c>
      <c r="G20" s="95">
        <f t="shared" si="0"/>
        <v>1000</v>
      </c>
      <c r="H20" s="95">
        <f t="shared" si="0"/>
        <v>1000</v>
      </c>
    </row>
    <row r="21" spans="1:8" ht="15" customHeight="1" x14ac:dyDescent="0.35">
      <c r="A21" s="38" t="s">
        <v>236</v>
      </c>
      <c r="B21" s="293">
        <f>'Compte de Résultat'!B34</f>
        <v>-8857.8558333333331</v>
      </c>
      <c r="C21" s="293">
        <f>'Compte de Résultat'!C34</f>
        <v>-128458.89149999993</v>
      </c>
      <c r="D21" s="293">
        <f>'Compte de Résultat'!D34</f>
        <v>50265.066333333365</v>
      </c>
      <c r="E21" s="293">
        <f>'Compte de Résultat'!E34</f>
        <v>382760.58633333328</v>
      </c>
      <c r="F21" s="293">
        <f>'Compte de Résultat'!F34</f>
        <v>518386.01466666645</v>
      </c>
      <c r="G21" s="293">
        <f>'Compte de Résultat'!G34</f>
        <v>690585.35749999981</v>
      </c>
      <c r="H21" s="293">
        <f>'Compte de Résultat'!H34</f>
        <v>756513.56783333328</v>
      </c>
    </row>
    <row r="22" spans="1:8" ht="15" customHeight="1" x14ac:dyDescent="0.35">
      <c r="A22" s="60" t="s">
        <v>237</v>
      </c>
      <c r="B22" s="97">
        <f>'Compte de Résultat'!B13</f>
        <v>0</v>
      </c>
      <c r="C22" s="97">
        <f>'Compte de Résultat'!C13</f>
        <v>192906.25</v>
      </c>
      <c r="D22" s="97">
        <f>'Compte de Résultat'!D13</f>
        <v>643020.83333333349</v>
      </c>
      <c r="E22" s="97">
        <f>'Compte de Résultat'!E13</f>
        <v>1414645.8333333337</v>
      </c>
      <c r="F22" s="97">
        <f>'Compte de Résultat'!F13</f>
        <v>2057666.6666666665</v>
      </c>
      <c r="G22" s="97">
        <f>'Compte de Résultat'!G13</f>
        <v>2572083.3333333335</v>
      </c>
      <c r="H22" s="97">
        <f>'Compte de Résultat'!H13</f>
        <v>2700687.5000000005</v>
      </c>
    </row>
    <row r="23" spans="1:8" ht="15" customHeight="1" x14ac:dyDescent="0.35">
      <c r="A23" s="38"/>
      <c r="B23" s="38"/>
      <c r="C23" s="38"/>
      <c r="D23" s="38"/>
      <c r="E23" s="38"/>
      <c r="F23" s="38"/>
      <c r="G23" s="38"/>
      <c r="H23" s="38"/>
    </row>
    <row r="24" spans="1:8" ht="15" hidden="1" customHeight="1" x14ac:dyDescent="0.35">
      <c r="A24" s="450"/>
      <c r="B24" s="450"/>
      <c r="C24" s="450"/>
      <c r="D24" s="450"/>
      <c r="E24" s="450"/>
      <c r="F24" s="450"/>
      <c r="G24" s="450"/>
      <c r="H24" s="450"/>
    </row>
    <row r="25" spans="1:8" ht="15" hidden="1" customHeight="1" x14ac:dyDescent="0.35">
      <c r="A25" s="60"/>
      <c r="B25" s="95"/>
      <c r="C25" s="95"/>
      <c r="D25" s="95"/>
      <c r="E25" s="95"/>
      <c r="F25" s="95"/>
      <c r="G25" s="95"/>
      <c r="H25" s="95"/>
    </row>
    <row r="26" spans="1:8" ht="15" hidden="1" customHeight="1" x14ac:dyDescent="0.35">
      <c r="B26" s="96"/>
      <c r="C26" s="96"/>
      <c r="D26" s="96"/>
      <c r="E26" s="96"/>
      <c r="F26" s="96"/>
      <c r="G26" s="96"/>
      <c r="H26" s="96"/>
    </row>
    <row r="27" spans="1:8" ht="15" hidden="1" customHeight="1" x14ac:dyDescent="0.35">
      <c r="A27" s="60"/>
      <c r="B27" s="98"/>
      <c r="C27" s="98"/>
      <c r="D27" s="98"/>
      <c r="E27" s="98"/>
      <c r="F27" s="98"/>
      <c r="G27" s="98"/>
      <c r="H27" s="98"/>
    </row>
    <row r="28" spans="1:8" ht="15" hidden="1" customHeight="1" x14ac:dyDescent="0.35">
      <c r="A28" s="38"/>
      <c r="B28" s="38"/>
      <c r="C28" s="38"/>
      <c r="D28" s="38"/>
      <c r="E28" s="38"/>
      <c r="F28" s="38"/>
      <c r="G28" s="38"/>
      <c r="H28" s="38"/>
    </row>
    <row r="29" spans="1:8" ht="15" hidden="1" customHeight="1" x14ac:dyDescent="0.35">
      <c r="A29" s="447" t="s">
        <v>238</v>
      </c>
      <c r="B29" s="447"/>
      <c r="C29" s="447"/>
      <c r="D29" s="447"/>
      <c r="E29" s="447"/>
      <c r="F29" s="447"/>
      <c r="G29" s="447"/>
      <c r="H29" s="447"/>
    </row>
    <row r="30" spans="1:8" ht="15" hidden="1" customHeight="1" x14ac:dyDescent="0.35">
      <c r="A30" s="38"/>
      <c r="B30" s="98"/>
      <c r="C30" s="98"/>
      <c r="D30" s="98"/>
      <c r="E30" s="98"/>
      <c r="F30" s="98"/>
      <c r="G30" s="98"/>
      <c r="H30" s="98"/>
    </row>
    <row r="31" spans="1:8" ht="15" hidden="1" customHeight="1" x14ac:dyDescent="0.35">
      <c r="A31" s="38" t="s">
        <v>239</v>
      </c>
      <c r="B31" s="97">
        <f t="shared" ref="B31:H31" si="1">B22</f>
        <v>0</v>
      </c>
      <c r="C31" s="97">
        <f t="shared" si="1"/>
        <v>192906.25</v>
      </c>
      <c r="D31" s="97">
        <f t="shared" si="1"/>
        <v>643020.83333333349</v>
      </c>
      <c r="E31" s="97">
        <f t="shared" si="1"/>
        <v>1414645.8333333337</v>
      </c>
      <c r="F31" s="97">
        <f t="shared" si="1"/>
        <v>2057666.6666666665</v>
      </c>
      <c r="G31" s="97">
        <f t="shared" si="1"/>
        <v>2572083.3333333335</v>
      </c>
      <c r="H31" s="97">
        <f t="shared" si="1"/>
        <v>2700687.5000000005</v>
      </c>
    </row>
    <row r="32" spans="1:8" ht="15" hidden="1" customHeight="1" x14ac:dyDescent="0.35">
      <c r="A32" s="38"/>
      <c r="B32" s="99"/>
      <c r="C32" s="99"/>
      <c r="D32" s="99"/>
      <c r="E32" s="99"/>
      <c r="F32" s="99"/>
      <c r="G32" s="99"/>
      <c r="H32" s="99"/>
    </row>
    <row r="33" spans="1:1" ht="15" hidden="1" customHeight="1" x14ac:dyDescent="0.35"/>
    <row r="34" spans="1:1" ht="15" customHeight="1" x14ac:dyDescent="0.35">
      <c r="A34" s="33" t="s">
        <v>240</v>
      </c>
    </row>
    <row r="35" spans="1:1" ht="15" customHeight="1" x14ac:dyDescent="0.35">
      <c r="A35" t="s">
        <v>241</v>
      </c>
    </row>
    <row r="36" spans="1:1" ht="15" customHeight="1" x14ac:dyDescent="0.35">
      <c r="A36" t="s">
        <v>242</v>
      </c>
    </row>
    <row r="37" spans="1:1" ht="15" customHeight="1" x14ac:dyDescent="0.35">
      <c r="A37" t="s">
        <v>243</v>
      </c>
    </row>
    <row r="38" spans="1:1" ht="15" customHeight="1" x14ac:dyDescent="0.35"/>
    <row r="39" spans="1:1" ht="15" customHeight="1" x14ac:dyDescent="0.35"/>
    <row r="40" spans="1:1" ht="15" customHeight="1" x14ac:dyDescent="0.35"/>
    <row r="42" spans="1:1" ht="15" customHeight="1" x14ac:dyDescent="0.35"/>
    <row r="43" spans="1:1" ht="15" customHeight="1" x14ac:dyDescent="0.35"/>
    <row r="44" spans="1:1" ht="15" customHeight="1" x14ac:dyDescent="0.35"/>
    <row r="45" spans="1:1" ht="15" customHeight="1" x14ac:dyDescent="0.35"/>
  </sheetData>
  <mergeCells count="6">
    <mergeCell ref="A29:H29"/>
    <mergeCell ref="A1:H1"/>
    <mergeCell ref="A3:F3"/>
    <mergeCell ref="A13:H13"/>
    <mergeCell ref="A19:H19"/>
    <mergeCell ref="A24:H24"/>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CH119"/>
  <sheetViews>
    <sheetView topLeftCell="A30" zoomScale="90" zoomScaleNormal="90" workbookViewId="0">
      <pane xSplit="1" topLeftCell="AU1" activePane="topRight" state="frozen"/>
      <selection activeCell="A3" sqref="A3"/>
      <selection pane="topRight" activeCell="F34" sqref="F34"/>
    </sheetView>
  </sheetViews>
  <sheetFormatPr baseColWidth="10" defaultColWidth="8.6328125" defaultRowHeight="14.5" x14ac:dyDescent="0.35"/>
  <cols>
    <col min="1" max="1" width="42.36328125" customWidth="1"/>
    <col min="2" max="2" width="10.81640625" customWidth="1"/>
    <col min="3" max="3" width="17.36328125" bestFit="1" customWidth="1"/>
    <col min="4" max="61" width="10.81640625" customWidth="1"/>
  </cols>
  <sheetData>
    <row r="1" spans="1:15" ht="17.25" customHeight="1" x14ac:dyDescent="0.35">
      <c r="A1" s="100" t="s">
        <v>244</v>
      </c>
    </row>
    <row r="2" spans="1:15" ht="15" customHeight="1" x14ac:dyDescent="0.35">
      <c r="A2" s="85" t="s">
        <v>245</v>
      </c>
    </row>
    <row r="4" spans="1:15" ht="15" customHeight="1" x14ac:dyDescent="0.35">
      <c r="A4" s="86" t="s">
        <v>246</v>
      </c>
    </row>
    <row r="5" spans="1:15" ht="15" customHeight="1" x14ac:dyDescent="0.35">
      <c r="B5" s="101" t="s">
        <v>247</v>
      </c>
      <c r="C5" s="101" t="s">
        <v>248</v>
      </c>
      <c r="D5" s="101" t="s">
        <v>249</v>
      </c>
      <c r="E5" s="101" t="s">
        <v>250</v>
      </c>
      <c r="F5" s="101" t="s">
        <v>251</v>
      </c>
      <c r="G5" s="101" t="s">
        <v>55</v>
      </c>
      <c r="H5" s="101" t="s">
        <v>56</v>
      </c>
      <c r="I5" s="101" t="s">
        <v>252</v>
      </c>
      <c r="J5" s="101" t="s">
        <v>58</v>
      </c>
      <c r="K5" s="101" t="s">
        <v>253</v>
      </c>
      <c r="L5" s="101" t="s">
        <v>254</v>
      </c>
      <c r="M5" s="101" t="s">
        <v>255</v>
      </c>
      <c r="N5" s="101" t="s">
        <v>256</v>
      </c>
      <c r="O5" s="285" t="s">
        <v>17</v>
      </c>
    </row>
    <row r="6" spans="1:15" ht="15" customHeight="1" x14ac:dyDescent="0.35">
      <c r="A6" s="102" t="s">
        <v>257</v>
      </c>
      <c r="O6" s="286"/>
    </row>
    <row r="7" spans="1:15" ht="15" customHeight="1" x14ac:dyDescent="0.35">
      <c r="A7" t="s">
        <v>8</v>
      </c>
      <c r="B7" s="277">
        <f>Dashboard!B9</f>
        <v>100000</v>
      </c>
      <c r="C7" s="277">
        <v>0</v>
      </c>
      <c r="D7" s="277">
        <v>0</v>
      </c>
      <c r="E7" s="277">
        <v>0</v>
      </c>
      <c r="F7" s="277">
        <v>0</v>
      </c>
      <c r="G7" s="277">
        <v>0</v>
      </c>
      <c r="H7" s="277">
        <v>0</v>
      </c>
      <c r="I7" s="277">
        <v>0</v>
      </c>
      <c r="J7" s="277">
        <v>0</v>
      </c>
      <c r="K7" s="277">
        <v>0</v>
      </c>
      <c r="L7" s="277">
        <v>0</v>
      </c>
      <c r="M7" s="277">
        <v>0</v>
      </c>
      <c r="N7" s="277">
        <v>0</v>
      </c>
      <c r="O7" s="287">
        <f>SUM(B7:N7)</f>
        <v>100000</v>
      </c>
    </row>
    <row r="8" spans="1:15" ht="15" customHeight="1" x14ac:dyDescent="0.35">
      <c r="A8" t="s">
        <v>226</v>
      </c>
      <c r="B8" s="277">
        <v>0</v>
      </c>
      <c r="C8" s="277">
        <v>89000</v>
      </c>
      <c r="D8" s="277">
        <v>0</v>
      </c>
      <c r="E8" s="277">
        <v>0</v>
      </c>
      <c r="F8" s="277">
        <v>0</v>
      </c>
      <c r="G8" s="277">
        <v>0</v>
      </c>
      <c r="H8" s="277">
        <v>0</v>
      </c>
      <c r="I8" s="277">
        <v>0</v>
      </c>
      <c r="J8" s="277">
        <v>0</v>
      </c>
      <c r="K8" s="277">
        <v>0</v>
      </c>
      <c r="L8" s="277">
        <v>0</v>
      </c>
      <c r="M8" s="277">
        <v>0</v>
      </c>
      <c r="N8" s="277">
        <v>0</v>
      </c>
      <c r="O8" s="287">
        <f>SUM(B8:N8)</f>
        <v>89000</v>
      </c>
    </row>
    <row r="9" spans="1:15" ht="15" customHeight="1" x14ac:dyDescent="0.35">
      <c r="A9" t="s">
        <v>258</v>
      </c>
      <c r="B9" s="277">
        <v>0</v>
      </c>
      <c r="C9" s="277">
        <v>0</v>
      </c>
      <c r="D9" s="277">
        <v>0</v>
      </c>
      <c r="E9" s="277"/>
      <c r="F9" s="277">
        <v>0</v>
      </c>
      <c r="G9" s="277">
        <f>'Emprunt Bancaire'!B4</f>
        <v>189000</v>
      </c>
      <c r="H9" s="277">
        <v>0</v>
      </c>
      <c r="I9" s="277">
        <v>0</v>
      </c>
      <c r="J9" s="277">
        <v>0</v>
      </c>
      <c r="K9" s="277">
        <v>0</v>
      </c>
      <c r="L9" s="277">
        <v>0</v>
      </c>
      <c r="M9" s="277">
        <v>0</v>
      </c>
      <c r="N9" s="277">
        <v>0</v>
      </c>
      <c r="O9" s="287">
        <f>SUM(B9:N9)</f>
        <v>189000</v>
      </c>
    </row>
    <row r="10" spans="1:15" ht="15" customHeight="1" x14ac:dyDescent="0.35">
      <c r="B10" s="277"/>
      <c r="C10" s="277"/>
      <c r="D10" s="277"/>
      <c r="E10" s="277"/>
      <c r="F10" s="277"/>
      <c r="G10" s="277"/>
      <c r="H10" s="277"/>
      <c r="I10" s="277"/>
      <c r="J10" s="277"/>
      <c r="K10" s="277"/>
      <c r="L10" s="277"/>
      <c r="M10" s="277"/>
      <c r="N10" s="277"/>
      <c r="O10" s="288">
        <f>SUM(O8:O9)</f>
        <v>278000</v>
      </c>
    </row>
    <row r="11" spans="1:15" ht="15" customHeight="1" x14ac:dyDescent="0.35">
      <c r="B11" s="277"/>
      <c r="C11" s="277"/>
      <c r="D11" s="277"/>
      <c r="E11" s="277"/>
      <c r="F11" s="277"/>
      <c r="G11" s="277"/>
      <c r="H11" s="277"/>
      <c r="I11" s="277"/>
      <c r="J11" s="277"/>
      <c r="K11" s="277"/>
      <c r="L11" s="277"/>
      <c r="M11" s="277"/>
      <c r="N11" s="277"/>
      <c r="O11" s="287"/>
    </row>
    <row r="12" spans="1:15" ht="15" customHeight="1" x14ac:dyDescent="0.35">
      <c r="A12" t="s">
        <v>259</v>
      </c>
      <c r="B12" s="277">
        <v>0</v>
      </c>
      <c r="C12" s="277">
        <f>C35*'Marges Produits'!$C$49</f>
        <v>0</v>
      </c>
      <c r="D12" s="277">
        <f>D35*'Marges Produits'!$C$49</f>
        <v>0</v>
      </c>
      <c r="E12" s="277">
        <f>E35*'Marges Produits'!$C$49</f>
        <v>0</v>
      </c>
      <c r="F12" s="277">
        <f>F35*'Marges Produits'!$C$49</f>
        <v>12860.416666666668</v>
      </c>
      <c r="G12" s="277">
        <f>G35*'Marges Produits'!$C$49</f>
        <v>18004.583333333336</v>
      </c>
      <c r="H12" s="277">
        <f>H35*'Marges Produits'!$C$49</f>
        <v>23148.75</v>
      </c>
      <c r="I12" s="277">
        <f>I35*'Marges Produits'!$C$49</f>
        <v>30865</v>
      </c>
      <c r="J12" s="277">
        <f>J35*'Marges Produits'!$C$49</f>
        <v>30865</v>
      </c>
      <c r="K12" s="277">
        <f>K35*'Marges Produits'!$C$49</f>
        <v>25720.833333333336</v>
      </c>
      <c r="L12" s="277">
        <f>L35*'Marges Produits'!$C$49</f>
        <v>25720.833333333336</v>
      </c>
      <c r="M12" s="277">
        <f>M35*'Marges Produits'!$C$49</f>
        <v>12860.416666666668</v>
      </c>
      <c r="N12" s="277">
        <f>N35*'Marges Produits'!$C$49</f>
        <v>12860.416666666668</v>
      </c>
      <c r="O12" s="287">
        <f>SUM(B12:N12)</f>
        <v>192906.25</v>
      </c>
    </row>
    <row r="13" spans="1:15" ht="15" customHeight="1" x14ac:dyDescent="0.35">
      <c r="A13" s="33" t="s">
        <v>260</v>
      </c>
      <c r="B13" s="277">
        <f t="shared" ref="B13:N13" si="0">SUM(B7:B12)</f>
        <v>100000</v>
      </c>
      <c r="C13" s="277">
        <f t="shared" si="0"/>
        <v>89000</v>
      </c>
      <c r="D13" s="277">
        <f t="shared" si="0"/>
        <v>0</v>
      </c>
      <c r="E13" s="277">
        <f t="shared" si="0"/>
        <v>0</v>
      </c>
      <c r="F13" s="277">
        <f t="shared" si="0"/>
        <v>12860.416666666668</v>
      </c>
      <c r="G13" s="277">
        <f t="shared" si="0"/>
        <v>207004.58333333334</v>
      </c>
      <c r="H13" s="277">
        <f t="shared" si="0"/>
        <v>23148.75</v>
      </c>
      <c r="I13" s="277">
        <f t="shared" si="0"/>
        <v>30865</v>
      </c>
      <c r="J13" s="277">
        <f t="shared" si="0"/>
        <v>30865</v>
      </c>
      <c r="K13" s="277">
        <f t="shared" si="0"/>
        <v>25720.833333333336</v>
      </c>
      <c r="L13" s="277">
        <f t="shared" si="0"/>
        <v>25720.833333333336</v>
      </c>
      <c r="M13" s="277">
        <f t="shared" si="0"/>
        <v>12860.416666666668</v>
      </c>
      <c r="N13" s="277">
        <f t="shared" si="0"/>
        <v>12860.416666666668</v>
      </c>
      <c r="O13" s="287">
        <f>SUM(B13:N13)</f>
        <v>570906.24999999988</v>
      </c>
    </row>
    <row r="14" spans="1:15" ht="14.25" customHeight="1" x14ac:dyDescent="0.35">
      <c r="B14" s="277"/>
      <c r="C14" s="277"/>
      <c r="D14" s="277"/>
      <c r="E14" s="277"/>
      <c r="F14" s="277"/>
      <c r="G14" s="277"/>
      <c r="H14" s="277"/>
      <c r="I14" s="277"/>
      <c r="J14" s="277"/>
      <c r="K14" s="277"/>
      <c r="L14" s="277"/>
      <c r="M14" s="277"/>
      <c r="N14" s="277"/>
      <c r="O14" s="287"/>
    </row>
    <row r="15" spans="1:15" ht="15" customHeight="1" x14ac:dyDescent="0.35">
      <c r="A15" s="102" t="s">
        <v>261</v>
      </c>
      <c r="B15" s="277"/>
      <c r="C15" s="277"/>
      <c r="D15" s="277"/>
      <c r="E15" s="277"/>
      <c r="F15" s="277"/>
      <c r="G15" s="277"/>
      <c r="H15" s="277"/>
      <c r="I15" s="277"/>
      <c r="J15" s="277"/>
      <c r="K15" s="277"/>
      <c r="L15" s="277"/>
      <c r="M15" s="277"/>
      <c r="N15" s="277"/>
      <c r="O15" s="287"/>
    </row>
    <row r="16" spans="1:15" ht="15" customHeight="1" x14ac:dyDescent="0.35">
      <c r="A16" t="s">
        <v>262</v>
      </c>
      <c r="B16" s="277">
        <f>'Frais de lancement'!B9</f>
        <v>3803</v>
      </c>
      <c r="C16" s="277">
        <v>0</v>
      </c>
      <c r="D16" s="277">
        <v>0</v>
      </c>
      <c r="E16" s="277">
        <v>0</v>
      </c>
      <c r="F16" s="277">
        <v>0</v>
      </c>
      <c r="G16" s="277">
        <v>0</v>
      </c>
      <c r="H16" s="277">
        <v>0</v>
      </c>
      <c r="I16" s="277">
        <v>0</v>
      </c>
      <c r="J16" s="277">
        <v>0</v>
      </c>
      <c r="K16" s="277">
        <v>0</v>
      </c>
      <c r="L16" s="277">
        <v>0</v>
      </c>
      <c r="M16" s="277">
        <v>0</v>
      </c>
      <c r="N16" s="277">
        <v>0</v>
      </c>
      <c r="O16" s="287">
        <f t="shared" ref="O16:O27" si="1">SUM(B16:N16)</f>
        <v>3803</v>
      </c>
    </row>
    <row r="17" spans="1:15" ht="15" customHeight="1" x14ac:dyDescent="0.35">
      <c r="A17" t="s">
        <v>263</v>
      </c>
      <c r="B17" s="277">
        <v>0</v>
      </c>
      <c r="C17" s="277">
        <f>'Charges Fixes Plume'!G34</f>
        <v>10000</v>
      </c>
      <c r="D17" s="277">
        <f>'Charges Fixes Plume'!H34</f>
        <v>0</v>
      </c>
      <c r="E17" s="277">
        <f>'Charges Fixes Plume'!I34</f>
        <v>0</v>
      </c>
      <c r="F17" s="277">
        <f>'Charges Fixes Plume'!J34</f>
        <v>0</v>
      </c>
      <c r="G17" s="277">
        <f>'Charges Fixes Plume'!K34</f>
        <v>2517.1019999999999</v>
      </c>
      <c r="H17" s="277">
        <f>'Charges Fixes Plume'!L34</f>
        <v>2517.1019999999999</v>
      </c>
      <c r="I17" s="277">
        <f>'Charges Fixes Plume'!M34</f>
        <v>2517.1019999999999</v>
      </c>
      <c r="J17" s="277">
        <f>'Charges Fixes Plume'!N34</f>
        <v>2517.1019999999999</v>
      </c>
      <c r="K17" s="277">
        <f>'Charges Fixes Plume'!O34</f>
        <v>2517.1019999999999</v>
      </c>
      <c r="L17" s="277">
        <f>'Charges Fixes Plume'!P34</f>
        <v>2517.1019999999999</v>
      </c>
      <c r="M17" s="277">
        <f>'Charges Fixes Plume'!Q34</f>
        <v>2517.1019999999999</v>
      </c>
      <c r="N17" s="277">
        <f>'Charges Fixes Plume'!R34</f>
        <v>2517.1019999999999</v>
      </c>
      <c r="O17" s="287">
        <f t="shared" si="1"/>
        <v>30136.815999999992</v>
      </c>
    </row>
    <row r="18" spans="1:15" ht="15" customHeight="1" x14ac:dyDescent="0.35">
      <c r="A18" t="s">
        <v>105</v>
      </c>
      <c r="B18" s="277">
        <v>0</v>
      </c>
      <c r="C18" s="277">
        <v>2500</v>
      </c>
      <c r="D18" s="277">
        <v>0</v>
      </c>
      <c r="E18" s="277">
        <v>0</v>
      </c>
      <c r="F18" s="277">
        <v>0</v>
      </c>
      <c r="G18" s="277">
        <v>0</v>
      </c>
      <c r="H18" s="277">
        <v>0</v>
      </c>
      <c r="I18" s="277">
        <v>2500</v>
      </c>
      <c r="J18" s="277">
        <v>0</v>
      </c>
      <c r="K18" s="277">
        <v>0</v>
      </c>
      <c r="L18" s="277">
        <v>0</v>
      </c>
      <c r="M18" s="277">
        <v>0</v>
      </c>
      <c r="N18" s="277">
        <v>0</v>
      </c>
      <c r="O18" s="287">
        <f t="shared" si="1"/>
        <v>5000</v>
      </c>
    </row>
    <row r="19" spans="1:15" ht="15" customHeight="1" x14ac:dyDescent="0.35">
      <c r="A19" t="s">
        <v>21</v>
      </c>
      <c r="B19" s="277">
        <f>'Charges Fixes Plume'!R$13/2</f>
        <v>2170.8333333333335</v>
      </c>
      <c r="C19" s="277">
        <f>'Charges Fixes Plume'!G13</f>
        <v>10907.666666666668</v>
      </c>
      <c r="D19" s="277">
        <f>'Charges Fixes Plume'!H13</f>
        <v>6341.666666666667</v>
      </c>
      <c r="E19" s="277">
        <f>'Charges Fixes Plume'!I13</f>
        <v>10907.666666666668</v>
      </c>
      <c r="F19" s="277">
        <f>'Charges Fixes Plume'!J13</f>
        <v>4341.666666666667</v>
      </c>
      <c r="G19" s="277">
        <f>'Charges Fixes Plume'!K13</f>
        <v>8907.6666666666679</v>
      </c>
      <c r="H19" s="277">
        <f>'Charges Fixes Plume'!L13</f>
        <v>4341.666666666667</v>
      </c>
      <c r="I19" s="277">
        <f>'Charges Fixes Plume'!M13</f>
        <v>7907.666666666667</v>
      </c>
      <c r="J19" s="277">
        <f>'Charges Fixes Plume'!N13</f>
        <v>3341.666666666667</v>
      </c>
      <c r="K19" s="277">
        <f>'Charges Fixes Plume'!O13</f>
        <v>8907.6666666666679</v>
      </c>
      <c r="L19" s="277">
        <f>'Charges Fixes Plume'!P13</f>
        <v>4341.666666666667</v>
      </c>
      <c r="M19" s="277">
        <f>'Charges Fixes Plume'!Q13</f>
        <v>8907.6666666666679</v>
      </c>
      <c r="N19" s="277">
        <f>'Charges Fixes Plume'!R13</f>
        <v>4341.666666666667</v>
      </c>
      <c r="O19" s="287">
        <f>SUM(B19:N19)</f>
        <v>85666.833333333343</v>
      </c>
    </row>
    <row r="20" spans="1:15" ht="15" customHeight="1" x14ac:dyDescent="0.35">
      <c r="A20" s="323" t="s">
        <v>498</v>
      </c>
      <c r="B20" s="277"/>
      <c r="C20" s="277"/>
      <c r="D20" s="277"/>
      <c r="E20" s="277"/>
      <c r="F20" s="277"/>
      <c r="G20" s="277"/>
      <c r="H20" s="277"/>
      <c r="I20" s="277"/>
      <c r="J20" s="277"/>
      <c r="K20" s="277"/>
      <c r="L20" s="277"/>
      <c r="M20" s="277"/>
      <c r="N20" s="277"/>
      <c r="O20" s="287"/>
    </row>
    <row r="21" spans="1:15" ht="15" customHeight="1" x14ac:dyDescent="0.35">
      <c r="A21" t="s">
        <v>264</v>
      </c>
      <c r="B21" s="277">
        <f>'Charges Fixes Plume'!R$29/2</f>
        <v>1728.6499999999999</v>
      </c>
      <c r="C21" s="277">
        <f>'Charges Fixes Plume'!G29</f>
        <v>9057.2999999999993</v>
      </c>
      <c r="D21" s="277">
        <f>'Charges Fixes Plume'!H29</f>
        <v>3977.2999999999997</v>
      </c>
      <c r="E21" s="277">
        <f>'Charges Fixes Plume'!I29</f>
        <v>3407.2999999999997</v>
      </c>
      <c r="F21" s="277">
        <f>'Charges Fixes Plume'!J29</f>
        <v>4407.2999999999993</v>
      </c>
      <c r="G21" s="277">
        <f>'Charges Fixes Plume'!K29</f>
        <v>3407.2999999999997</v>
      </c>
      <c r="H21" s="277">
        <f>'Charges Fixes Plume'!L29</f>
        <v>3407.2999999999997</v>
      </c>
      <c r="I21" s="277">
        <f>'Charges Fixes Plume'!M29</f>
        <v>4407.2999999999993</v>
      </c>
      <c r="J21" s="277">
        <f>'Charges Fixes Plume'!N29</f>
        <v>3407.2999999999997</v>
      </c>
      <c r="K21" s="277">
        <f>'Charges Fixes Plume'!O29</f>
        <v>3407.2999999999997</v>
      </c>
      <c r="L21" s="277">
        <f>'Charges Fixes Plume'!P29</f>
        <v>4407.2999999999993</v>
      </c>
      <c r="M21" s="277">
        <f>'Charges Fixes Plume'!Q29</f>
        <v>3407.2999999999997</v>
      </c>
      <c r="N21" s="277">
        <f>'Charges Fixes Plume'!R29</f>
        <v>3457.2999999999997</v>
      </c>
      <c r="O21" s="287">
        <f t="shared" si="1"/>
        <v>51886.250000000015</v>
      </c>
    </row>
    <row r="22" spans="1:15" ht="15" customHeight="1" x14ac:dyDescent="0.35">
      <c r="A22" t="s">
        <v>265</v>
      </c>
      <c r="B22" s="277">
        <v>0</v>
      </c>
      <c r="C22" s="277">
        <v>0</v>
      </c>
      <c r="D22" s="277">
        <v>0</v>
      </c>
      <c r="E22" s="277">
        <f>'Charges Fixes Plume'!C36*4</f>
        <v>5034.2039999999997</v>
      </c>
      <c r="F22" s="277">
        <v>0</v>
      </c>
      <c r="G22" s="277">
        <f>4*'Charges Fixes Plume'!$C$36</f>
        <v>5034.2039999999997</v>
      </c>
      <c r="H22" s="277">
        <v>0</v>
      </c>
      <c r="I22" s="277">
        <v>0</v>
      </c>
      <c r="J22" s="277"/>
      <c r="K22" s="277">
        <v>0</v>
      </c>
      <c r="L22" s="277">
        <v>0</v>
      </c>
      <c r="M22" s="277">
        <v>0</v>
      </c>
      <c r="N22" s="277">
        <v>0</v>
      </c>
      <c r="O22" s="287">
        <f t="shared" si="1"/>
        <v>10068.407999999999</v>
      </c>
    </row>
    <row r="23" spans="1:15" ht="15" customHeight="1" x14ac:dyDescent="0.35">
      <c r="A23" t="s">
        <v>266</v>
      </c>
      <c r="B23" s="277">
        <v>0</v>
      </c>
      <c r="C23" s="277">
        <v>0</v>
      </c>
      <c r="D23" s="277">
        <v>0</v>
      </c>
      <c r="E23" s="277"/>
      <c r="F23" s="277">
        <v>11172</v>
      </c>
      <c r="G23" s="277">
        <v>0</v>
      </c>
      <c r="H23" s="277">
        <f>'Charges Fixes Plume'!C37</f>
        <v>13669</v>
      </c>
      <c r="I23" s="277">
        <v>0</v>
      </c>
      <c r="J23" s="277"/>
      <c r="K23" s="277">
        <v>0</v>
      </c>
      <c r="L23" s="277">
        <v>0</v>
      </c>
      <c r="M23" s="277">
        <v>0</v>
      </c>
      <c r="N23" s="277">
        <v>0</v>
      </c>
      <c r="O23" s="287">
        <f t="shared" si="1"/>
        <v>24841</v>
      </c>
    </row>
    <row r="24" spans="1:15" ht="15" customHeight="1" x14ac:dyDescent="0.35">
      <c r="A24" s="279" t="s">
        <v>461</v>
      </c>
      <c r="B24" s="280">
        <v>0</v>
      </c>
      <c r="C24" s="280">
        <f>C34*'Marges Produits'!$E$49</f>
        <v>0</v>
      </c>
      <c r="D24" s="280">
        <f>D34*'Marges Produits'!$E$49</f>
        <v>0</v>
      </c>
      <c r="E24" s="280">
        <f>E34*'Marges Produits'!$E$49</f>
        <v>0</v>
      </c>
      <c r="F24" s="280">
        <f>F34*'Marges Produits'!$E$49</f>
        <v>10487.924999999999</v>
      </c>
      <c r="G24" s="280">
        <f>G34*'Marges Produits'!$E$49</f>
        <v>20975.85</v>
      </c>
      <c r="H24" s="280">
        <f>H34*'Marges Produits'!$E$49</f>
        <v>20975.85</v>
      </c>
      <c r="I24" s="280">
        <f>I34*'Marges Produits'!$E$49</f>
        <v>18878.264999999999</v>
      </c>
      <c r="J24" s="280">
        <f>J34*'Marges Produits'!$E$49</f>
        <v>10487.924999999999</v>
      </c>
      <c r="K24" s="280">
        <f>K34*'Marges Produits'!$E$49</f>
        <v>7341.5475000000006</v>
      </c>
      <c r="L24" s="280">
        <f>L34*'Marges Produits'!$E$49</f>
        <v>5243.9624999999996</v>
      </c>
      <c r="M24" s="280">
        <f>M34*'Marges Produits'!$E$49</f>
        <v>0</v>
      </c>
      <c r="N24" s="280">
        <f>N34*'Marges Produits'!$E$49</f>
        <v>0</v>
      </c>
      <c r="O24" s="287">
        <f t="shared" si="1"/>
        <v>94391.324999999997</v>
      </c>
    </row>
    <row r="25" spans="1:15" ht="15" customHeight="1" x14ac:dyDescent="0.35">
      <c r="A25" t="s">
        <v>267</v>
      </c>
      <c r="B25" s="277">
        <v>0</v>
      </c>
      <c r="C25" s="277">
        <v>0</v>
      </c>
      <c r="D25" s="277">
        <v>0</v>
      </c>
      <c r="E25" s="277">
        <v>0</v>
      </c>
      <c r="F25" s="277"/>
      <c r="G25" s="277">
        <f>'Emprunt Bancaire'!$B$27</f>
        <v>4367</v>
      </c>
      <c r="H25" s="277">
        <f>'Emprunt Bancaire'!$B$27</f>
        <v>4367</v>
      </c>
      <c r="I25" s="277">
        <f>'Emprunt Bancaire'!$B$27</f>
        <v>4367</v>
      </c>
      <c r="J25" s="277">
        <f>'Emprunt Bancaire'!$B$27</f>
        <v>4367</v>
      </c>
      <c r="K25" s="277">
        <f>'Emprunt Bancaire'!$B$27</f>
        <v>4367</v>
      </c>
      <c r="L25" s="277">
        <f>'Emprunt Bancaire'!$B$27</f>
        <v>4367</v>
      </c>
      <c r="M25" s="277">
        <f>'Emprunt Bancaire'!$B$27</f>
        <v>4367</v>
      </c>
      <c r="N25" s="277">
        <f>'Emprunt Bancaire'!$B$27</f>
        <v>4367</v>
      </c>
      <c r="O25" s="287">
        <f t="shared" si="1"/>
        <v>34936</v>
      </c>
    </row>
    <row r="26" spans="1:15" ht="14.25" customHeight="1" x14ac:dyDescent="0.35">
      <c r="A26" t="s">
        <v>268</v>
      </c>
      <c r="B26" s="277">
        <f t="shared" ref="B26:N26" si="2">B12*0.008</f>
        <v>0</v>
      </c>
      <c r="C26" s="277">
        <f t="shared" si="2"/>
        <v>0</v>
      </c>
      <c r="D26" s="277">
        <f t="shared" si="2"/>
        <v>0</v>
      </c>
      <c r="E26" s="277">
        <f t="shared" si="2"/>
        <v>0</v>
      </c>
      <c r="F26" s="277">
        <f t="shared" si="2"/>
        <v>102.88333333333334</v>
      </c>
      <c r="G26" s="277">
        <f t="shared" si="2"/>
        <v>144.03666666666669</v>
      </c>
      <c r="H26" s="277">
        <f t="shared" si="2"/>
        <v>185.19</v>
      </c>
      <c r="I26" s="277">
        <f t="shared" si="2"/>
        <v>246.92000000000002</v>
      </c>
      <c r="J26" s="277">
        <f t="shared" si="2"/>
        <v>246.92000000000002</v>
      </c>
      <c r="K26" s="277">
        <f t="shared" si="2"/>
        <v>205.76666666666668</v>
      </c>
      <c r="L26" s="277">
        <f t="shared" si="2"/>
        <v>205.76666666666668</v>
      </c>
      <c r="M26" s="277">
        <f t="shared" si="2"/>
        <v>102.88333333333334</v>
      </c>
      <c r="N26" s="277">
        <f t="shared" si="2"/>
        <v>102.88333333333334</v>
      </c>
      <c r="O26" s="287">
        <f t="shared" si="1"/>
        <v>1543.2500000000002</v>
      </c>
    </row>
    <row r="27" spans="1:15" ht="15" customHeight="1" x14ac:dyDescent="0.35">
      <c r="A27" t="s">
        <v>269</v>
      </c>
      <c r="B27" s="277">
        <f t="array" ref="B27">SUM(B16:B26*0.15)</f>
        <v>1155.3724999999999</v>
      </c>
      <c r="C27" s="277">
        <f t="array" ref="C27">SUM(C16:C26*0.15)</f>
        <v>4869.7449999999999</v>
      </c>
      <c r="D27" s="277">
        <f t="array" ref="D27">SUM(D16:D26*0.15)</f>
        <v>1547.8449999999998</v>
      </c>
      <c r="E27" s="277">
        <f t="array" ref="E27">SUM(E16:E26*0.15)</f>
        <v>2902.3755999999998</v>
      </c>
      <c r="F27" s="277">
        <f t="array" ref="F27">SUM(F16:F26*0.15)</f>
        <v>4576.7662499999997</v>
      </c>
      <c r="G27" s="277">
        <f t="array" ref="G27">SUM(G16:G26*0.15)</f>
        <v>6802.9739</v>
      </c>
      <c r="H27" s="277">
        <f t="array" ref="H27">SUM(H16:H26*0.15)</f>
        <v>7419.4663</v>
      </c>
      <c r="I27" s="277">
        <f t="array" ref="I27">SUM(I16:I26*0.15)</f>
        <v>6123.6380499999996</v>
      </c>
      <c r="J27" s="277">
        <f t="array" ref="J27">SUM(J16:J26*0.15)</f>
        <v>3655.18705</v>
      </c>
      <c r="K27" s="277">
        <f t="array" ref="K27">SUM(K16:K26*0.15)</f>
        <v>4011.9574249999996</v>
      </c>
      <c r="L27" s="277">
        <f t="array" ref="L27">SUM(L16:L26*0.15)</f>
        <v>3162.4196750000001</v>
      </c>
      <c r="M27" s="277">
        <f t="array" ref="M27">SUM(M16:M26*0.15)</f>
        <v>2895.2928000000002</v>
      </c>
      <c r="N27" s="277">
        <f t="array" ref="N27">SUM(N16:N26*0.15)</f>
        <v>2217.8927999999996</v>
      </c>
      <c r="O27" s="287">
        <f t="shared" si="1"/>
        <v>51340.932350000003</v>
      </c>
    </row>
    <row r="28" spans="1:15" ht="14.25" customHeight="1" x14ac:dyDescent="0.35">
      <c r="A28" s="33" t="s">
        <v>270</v>
      </c>
      <c r="B28" s="277">
        <f t="shared" ref="B28:N28" si="3">SUM(B16:B27)</f>
        <v>8857.8558333333331</v>
      </c>
      <c r="C28" s="277">
        <f t="shared" si="3"/>
        <v>37334.71166666667</v>
      </c>
      <c r="D28" s="277">
        <f t="shared" si="3"/>
        <v>11866.811666666666</v>
      </c>
      <c r="E28" s="277">
        <f t="shared" si="3"/>
        <v>22251.546266666664</v>
      </c>
      <c r="F28" s="277">
        <f t="shared" si="3"/>
        <v>35088.541250000002</v>
      </c>
      <c r="G28" s="277">
        <f t="shared" si="3"/>
        <v>52156.133233333327</v>
      </c>
      <c r="H28" s="277">
        <f t="shared" si="3"/>
        <v>56882.574966666667</v>
      </c>
      <c r="I28" s="277">
        <f t="shared" si="3"/>
        <v>46947.891716666665</v>
      </c>
      <c r="J28" s="277">
        <f t="shared" si="3"/>
        <v>28023.100716666664</v>
      </c>
      <c r="K28" s="277">
        <f t="shared" si="3"/>
        <v>30758.340258333334</v>
      </c>
      <c r="L28" s="277">
        <f t="shared" si="3"/>
        <v>24245.217508333335</v>
      </c>
      <c r="M28" s="277">
        <f t="shared" si="3"/>
        <v>22197.2448</v>
      </c>
      <c r="N28" s="277">
        <f t="shared" si="3"/>
        <v>17003.844799999999</v>
      </c>
      <c r="O28" s="288">
        <f>SUM(B28:N28)</f>
        <v>393613.81468333333</v>
      </c>
    </row>
    <row r="29" spans="1:15" ht="15" customHeight="1" x14ac:dyDescent="0.35">
      <c r="B29" s="277"/>
      <c r="C29" s="277"/>
      <c r="D29" s="277"/>
      <c r="E29" s="277"/>
      <c r="F29" s="277"/>
      <c r="G29" s="277"/>
      <c r="H29" s="277"/>
      <c r="I29" s="277"/>
      <c r="J29" s="277"/>
      <c r="K29" s="277"/>
      <c r="L29" s="277"/>
      <c r="M29" s="277"/>
      <c r="N29" s="277"/>
      <c r="O29" s="287"/>
    </row>
    <row r="30" spans="1:15" ht="15" customHeight="1" x14ac:dyDescent="0.35">
      <c r="A30" s="33" t="s">
        <v>271</v>
      </c>
      <c r="B30" s="277">
        <f t="shared" ref="B30:N30" si="4">B13-B28</f>
        <v>91142.144166666665</v>
      </c>
      <c r="C30" s="277">
        <f t="shared" si="4"/>
        <v>51665.28833333333</v>
      </c>
      <c r="D30" s="277">
        <f t="shared" si="4"/>
        <v>-11866.811666666666</v>
      </c>
      <c r="E30" s="277">
        <f t="shared" si="4"/>
        <v>-22251.546266666664</v>
      </c>
      <c r="F30" s="277">
        <f>F13-F28</f>
        <v>-22228.124583333334</v>
      </c>
      <c r="G30" s="277">
        <f t="shared" si="4"/>
        <v>154848.45010000002</v>
      </c>
      <c r="H30" s="277">
        <f t="shared" si="4"/>
        <v>-33733.824966666667</v>
      </c>
      <c r="I30" s="277">
        <f t="shared" si="4"/>
        <v>-16082.891716666665</v>
      </c>
      <c r="J30" s="277">
        <f t="shared" si="4"/>
        <v>2841.8992833333359</v>
      </c>
      <c r="K30" s="277">
        <f t="shared" si="4"/>
        <v>-5037.5069249999979</v>
      </c>
      <c r="L30" s="277">
        <f t="shared" si="4"/>
        <v>1475.6158250000008</v>
      </c>
      <c r="M30" s="277">
        <f t="shared" si="4"/>
        <v>-9336.8281333333325</v>
      </c>
      <c r="N30" s="277">
        <f t="shared" si="4"/>
        <v>-4143.4281333333311</v>
      </c>
      <c r="O30" s="288">
        <f>SUM(C30:N30)</f>
        <v>86150.291150000019</v>
      </c>
    </row>
    <row r="31" spans="1:15" ht="14.25" customHeight="1" x14ac:dyDescent="0.35">
      <c r="A31" s="104" t="s">
        <v>272</v>
      </c>
      <c r="B31" s="277">
        <f>B30</f>
        <v>91142.144166666665</v>
      </c>
      <c r="C31" s="277">
        <f t="shared" ref="C31:N31" si="5">B31+C30</f>
        <v>142807.4325</v>
      </c>
      <c r="D31" s="277">
        <f t="shared" si="5"/>
        <v>130940.62083333333</v>
      </c>
      <c r="E31" s="277">
        <f t="shared" si="5"/>
        <v>108689.07456666668</v>
      </c>
      <c r="F31" s="277">
        <f t="shared" si="5"/>
        <v>86460.949983333339</v>
      </c>
      <c r="G31" s="277">
        <f t="shared" si="5"/>
        <v>241309.40008333337</v>
      </c>
      <c r="H31" s="277">
        <f t="shared" si="5"/>
        <v>207575.5751166667</v>
      </c>
      <c r="I31" s="277">
        <f t="shared" si="5"/>
        <v>191492.68340000004</v>
      </c>
      <c r="J31" s="277">
        <f t="shared" si="5"/>
        <v>194334.58268333337</v>
      </c>
      <c r="K31" s="277">
        <f t="shared" si="5"/>
        <v>189297.07575833338</v>
      </c>
      <c r="L31" s="277">
        <f t="shared" si="5"/>
        <v>190772.69158333336</v>
      </c>
      <c r="M31" s="277">
        <f t="shared" si="5"/>
        <v>181435.86345000003</v>
      </c>
      <c r="N31" s="277">
        <f t="shared" si="5"/>
        <v>177292.4353166667</v>
      </c>
      <c r="O31" s="287"/>
    </row>
    <row r="32" spans="1:15" ht="15" customHeight="1" x14ac:dyDescent="0.35">
      <c r="O32" s="286"/>
    </row>
    <row r="33" spans="1:61" ht="15" customHeight="1" x14ac:dyDescent="0.35">
      <c r="A33" s="106" t="s">
        <v>273</v>
      </c>
      <c r="O33" s="286"/>
    </row>
    <row r="34" spans="1:61" ht="15" customHeight="1" x14ac:dyDescent="0.35">
      <c r="A34" t="s">
        <v>274</v>
      </c>
      <c r="B34">
        <v>0</v>
      </c>
      <c r="C34">
        <v>0</v>
      </c>
      <c r="D34">
        <v>0</v>
      </c>
      <c r="E34">
        <v>0</v>
      </c>
      <c r="F34">
        <v>10</v>
      </c>
      <c r="G34">
        <v>20</v>
      </c>
      <c r="H34">
        <v>20</v>
      </c>
      <c r="I34">
        <v>18</v>
      </c>
      <c r="J34">
        <v>10</v>
      </c>
      <c r="K34">
        <v>7</v>
      </c>
      <c r="L34">
        <v>5</v>
      </c>
      <c r="M34">
        <v>0</v>
      </c>
      <c r="N34">
        <v>0</v>
      </c>
      <c r="O34" s="286">
        <f>SUM(B34:N34)</f>
        <v>90</v>
      </c>
    </row>
    <row r="35" spans="1:61" ht="15" customHeight="1" x14ac:dyDescent="0.35">
      <c r="A35" t="s">
        <v>275</v>
      </c>
      <c r="B35">
        <v>0</v>
      </c>
      <c r="C35">
        <v>0</v>
      </c>
      <c r="D35">
        <v>0</v>
      </c>
      <c r="E35">
        <v>0</v>
      </c>
      <c r="F35">
        <v>5</v>
      </c>
      <c r="G35">
        <v>7</v>
      </c>
      <c r="H35">
        <v>9</v>
      </c>
      <c r="I35">
        <v>12</v>
      </c>
      <c r="J35">
        <v>12</v>
      </c>
      <c r="K35">
        <v>10</v>
      </c>
      <c r="L35">
        <v>10</v>
      </c>
      <c r="M35">
        <v>5</v>
      </c>
      <c r="N35">
        <v>5</v>
      </c>
      <c r="O35" s="286">
        <f>SUM(B35:N35)</f>
        <v>75</v>
      </c>
    </row>
    <row r="36" spans="1:61" ht="14.25" customHeight="1" x14ac:dyDescent="0.35">
      <c r="A36" t="s">
        <v>276</v>
      </c>
      <c r="B36">
        <v>0</v>
      </c>
      <c r="C36">
        <f t="shared" ref="C36:N36" si="6">(C34+B36)-C35</f>
        <v>0</v>
      </c>
      <c r="D36">
        <f t="shared" si="6"/>
        <v>0</v>
      </c>
      <c r="E36">
        <f t="shared" si="6"/>
        <v>0</v>
      </c>
      <c r="F36">
        <f t="shared" si="6"/>
        <v>5</v>
      </c>
      <c r="G36">
        <f t="shared" si="6"/>
        <v>18</v>
      </c>
      <c r="H36">
        <f t="shared" si="6"/>
        <v>29</v>
      </c>
      <c r="I36">
        <f t="shared" si="6"/>
        <v>35</v>
      </c>
      <c r="J36">
        <f t="shared" si="6"/>
        <v>33</v>
      </c>
      <c r="K36">
        <f t="shared" si="6"/>
        <v>30</v>
      </c>
      <c r="L36">
        <f t="shared" si="6"/>
        <v>25</v>
      </c>
      <c r="M36">
        <f t="shared" si="6"/>
        <v>20</v>
      </c>
      <c r="N36">
        <f t="shared" si="6"/>
        <v>15</v>
      </c>
      <c r="O36" s="286"/>
    </row>
    <row r="38" spans="1:61" ht="15" customHeight="1" x14ac:dyDescent="0.35">
      <c r="B38" s="451"/>
      <c r="C38" s="451"/>
      <c r="D38" s="451"/>
      <c r="E38" s="451"/>
      <c r="F38" s="451"/>
      <c r="G38" s="451"/>
      <c r="H38" s="451"/>
      <c r="I38" s="451"/>
      <c r="J38" s="451"/>
      <c r="K38" s="451"/>
      <c r="L38" s="451"/>
      <c r="M38" s="451"/>
      <c r="N38" s="451"/>
      <c r="O38" s="451"/>
      <c r="P38" s="451"/>
      <c r="Q38" s="451"/>
      <c r="R38" s="451"/>
      <c r="S38" s="451"/>
      <c r="T38" s="451"/>
      <c r="U38" s="451"/>
      <c r="V38" s="451"/>
      <c r="W38" s="451"/>
      <c r="X38" s="451"/>
      <c r="Y38" s="451"/>
      <c r="Z38" s="451"/>
      <c r="AA38" s="451"/>
      <c r="AB38" s="451"/>
      <c r="AC38" s="451"/>
      <c r="AD38" s="451"/>
      <c r="AE38" s="451"/>
      <c r="AF38" s="451"/>
      <c r="AG38" s="451"/>
      <c r="AH38" s="451"/>
      <c r="AI38" s="451"/>
      <c r="AJ38" s="451"/>
      <c r="AK38" s="451"/>
      <c r="AL38" s="451"/>
      <c r="AM38" s="451"/>
      <c r="AN38" s="451"/>
      <c r="AO38" s="451"/>
      <c r="AP38" s="451"/>
      <c r="AQ38" s="451"/>
      <c r="AR38" s="451"/>
      <c r="AS38" s="451"/>
      <c r="AT38" s="451"/>
      <c r="AU38" s="451"/>
      <c r="AV38" s="451"/>
      <c r="AW38" s="451"/>
      <c r="AX38" s="451"/>
      <c r="AY38" s="451"/>
      <c r="AZ38" s="451"/>
      <c r="BA38" s="451"/>
      <c r="BB38" s="451"/>
      <c r="BC38" s="451"/>
      <c r="BD38" s="451"/>
      <c r="BE38" s="451"/>
      <c r="BF38" s="451"/>
      <c r="BG38" s="451"/>
      <c r="BH38" s="451"/>
      <c r="BI38" s="451"/>
    </row>
    <row r="39" spans="1:61" ht="15" customHeight="1" x14ac:dyDescent="0.35">
      <c r="A39" s="86" t="s">
        <v>277</v>
      </c>
      <c r="B39" s="289" t="s">
        <v>277</v>
      </c>
      <c r="C39" s="107"/>
      <c r="D39" s="107"/>
      <c r="E39" s="107"/>
      <c r="F39" s="107"/>
      <c r="G39" s="107"/>
      <c r="H39" s="107"/>
      <c r="I39" s="107"/>
      <c r="J39" s="107"/>
      <c r="K39" s="107"/>
      <c r="L39" s="107"/>
      <c r="M39" s="108"/>
      <c r="N39" s="289" t="s">
        <v>278</v>
      </c>
      <c r="O39" s="107"/>
      <c r="P39" s="107"/>
      <c r="Q39" s="107"/>
      <c r="R39" s="107"/>
      <c r="S39" s="107"/>
      <c r="T39" s="107"/>
      <c r="U39" s="107"/>
      <c r="V39" s="107"/>
      <c r="W39" s="107"/>
      <c r="X39" s="107"/>
      <c r="Y39" s="108"/>
      <c r="Z39" s="289" t="s">
        <v>279</v>
      </c>
      <c r="AA39" s="107"/>
      <c r="AB39" s="107"/>
      <c r="AC39" s="107"/>
      <c r="AD39" s="107"/>
      <c r="AE39" s="107"/>
      <c r="AF39" s="107"/>
      <c r="AG39" s="107"/>
      <c r="AH39" s="107"/>
      <c r="AI39" s="107"/>
      <c r="AJ39" s="107"/>
      <c r="AK39" s="108"/>
      <c r="AL39" s="289" t="s">
        <v>280</v>
      </c>
      <c r="AM39" s="107"/>
      <c r="AN39" s="107"/>
      <c r="AO39" s="107"/>
      <c r="AP39" s="107"/>
      <c r="AQ39" s="107"/>
      <c r="AR39" s="107"/>
      <c r="AS39" s="107"/>
      <c r="AT39" s="107"/>
      <c r="AU39" s="107"/>
      <c r="AV39" s="107"/>
      <c r="AW39" s="108"/>
      <c r="AX39" s="289" t="s">
        <v>281</v>
      </c>
      <c r="AY39" s="107"/>
      <c r="AZ39" s="107"/>
      <c r="BA39" s="107"/>
      <c r="BB39" s="107"/>
      <c r="BC39" s="107"/>
      <c r="BD39" s="107"/>
      <c r="BE39" s="107"/>
      <c r="BF39" s="107"/>
      <c r="BG39" s="107"/>
      <c r="BH39" s="107"/>
      <c r="BI39" s="108"/>
    </row>
    <row r="40" spans="1:61" ht="15" customHeight="1" x14ac:dyDescent="0.35">
      <c r="B40" s="109" t="s">
        <v>248</v>
      </c>
      <c r="C40" s="101" t="s">
        <v>249</v>
      </c>
      <c r="D40" s="101" t="s">
        <v>250</v>
      </c>
      <c r="E40" s="101" t="s">
        <v>251</v>
      </c>
      <c r="F40" s="101" t="s">
        <v>55</v>
      </c>
      <c r="G40" s="101" t="s">
        <v>56</v>
      </c>
      <c r="H40" s="101" t="s">
        <v>252</v>
      </c>
      <c r="I40" s="101" t="s">
        <v>58</v>
      </c>
      <c r="J40" s="101" t="s">
        <v>253</v>
      </c>
      <c r="K40" s="101" t="s">
        <v>254</v>
      </c>
      <c r="L40" s="101" t="s">
        <v>255</v>
      </c>
      <c r="M40" s="110" t="s">
        <v>256</v>
      </c>
      <c r="N40" s="109" t="s">
        <v>248</v>
      </c>
      <c r="O40" s="101" t="s">
        <v>249</v>
      </c>
      <c r="P40" s="101" t="s">
        <v>250</v>
      </c>
      <c r="Q40" s="101" t="s">
        <v>251</v>
      </c>
      <c r="R40" s="101" t="s">
        <v>55</v>
      </c>
      <c r="S40" s="101" t="s">
        <v>56</v>
      </c>
      <c r="T40" s="101" t="s">
        <v>252</v>
      </c>
      <c r="U40" s="101" t="s">
        <v>58</v>
      </c>
      <c r="V40" s="101" t="s">
        <v>253</v>
      </c>
      <c r="W40" s="101" t="s">
        <v>254</v>
      </c>
      <c r="X40" s="101" t="s">
        <v>255</v>
      </c>
      <c r="Y40" s="110" t="s">
        <v>256</v>
      </c>
      <c r="Z40" s="109" t="s">
        <v>248</v>
      </c>
      <c r="AA40" s="101" t="s">
        <v>249</v>
      </c>
      <c r="AB40" s="101" t="s">
        <v>250</v>
      </c>
      <c r="AC40" s="101" t="s">
        <v>251</v>
      </c>
      <c r="AD40" s="101" t="s">
        <v>55</v>
      </c>
      <c r="AE40" s="101" t="s">
        <v>56</v>
      </c>
      <c r="AF40" s="101" t="s">
        <v>252</v>
      </c>
      <c r="AG40" s="101" t="s">
        <v>58</v>
      </c>
      <c r="AH40" s="101" t="s">
        <v>253</v>
      </c>
      <c r="AI40" s="101" t="s">
        <v>254</v>
      </c>
      <c r="AJ40" s="101" t="s">
        <v>255</v>
      </c>
      <c r="AK40" s="110" t="s">
        <v>256</v>
      </c>
      <c r="AL40" s="109" t="s">
        <v>248</v>
      </c>
      <c r="AM40" s="101" t="s">
        <v>249</v>
      </c>
      <c r="AN40" s="101" t="s">
        <v>250</v>
      </c>
      <c r="AO40" s="101" t="s">
        <v>251</v>
      </c>
      <c r="AP40" s="101" t="s">
        <v>55</v>
      </c>
      <c r="AQ40" s="101" t="s">
        <v>56</v>
      </c>
      <c r="AR40" s="101" t="s">
        <v>252</v>
      </c>
      <c r="AS40" s="101" t="s">
        <v>58</v>
      </c>
      <c r="AT40" s="101" t="s">
        <v>253</v>
      </c>
      <c r="AU40" s="101" t="s">
        <v>254</v>
      </c>
      <c r="AV40" s="101" t="s">
        <v>255</v>
      </c>
      <c r="AW40" s="110" t="s">
        <v>256</v>
      </c>
      <c r="AX40" s="109" t="s">
        <v>248</v>
      </c>
      <c r="AY40" s="101" t="s">
        <v>249</v>
      </c>
      <c r="AZ40" s="101" t="s">
        <v>250</v>
      </c>
      <c r="BA40" s="101" t="s">
        <v>251</v>
      </c>
      <c r="BB40" s="101" t="s">
        <v>55</v>
      </c>
      <c r="BC40" s="101" t="s">
        <v>56</v>
      </c>
      <c r="BD40" s="101" t="s">
        <v>252</v>
      </c>
      <c r="BE40" s="101" t="s">
        <v>58</v>
      </c>
      <c r="BF40" s="101" t="s">
        <v>253</v>
      </c>
      <c r="BG40" s="101" t="s">
        <v>254</v>
      </c>
      <c r="BH40" s="101" t="s">
        <v>255</v>
      </c>
      <c r="BI40" s="110" t="s">
        <v>256</v>
      </c>
    </row>
    <row r="41" spans="1:61" ht="15" customHeight="1" x14ac:dyDescent="0.35">
      <c r="A41" s="102" t="s">
        <v>257</v>
      </c>
      <c r="B41" s="111"/>
      <c r="M41" s="112"/>
      <c r="N41" s="111"/>
      <c r="Y41" s="112"/>
      <c r="Z41" s="111"/>
      <c r="AK41" s="112"/>
      <c r="AL41" s="111"/>
      <c r="AW41" s="112"/>
      <c r="AX41" s="111"/>
      <c r="BI41" s="112"/>
    </row>
    <row r="42" spans="1:61" ht="15" customHeight="1" x14ac:dyDescent="0.35">
      <c r="A42" t="s">
        <v>466</v>
      </c>
      <c r="B42" s="324">
        <v>0</v>
      </c>
      <c r="C42" s="325">
        <v>0</v>
      </c>
      <c r="D42" s="325">
        <v>50000</v>
      </c>
      <c r="E42" s="325">
        <v>0</v>
      </c>
      <c r="F42" s="325">
        <v>0</v>
      </c>
      <c r="G42" s="325">
        <v>0</v>
      </c>
      <c r="H42" s="325">
        <v>0</v>
      </c>
      <c r="I42" s="325">
        <v>0</v>
      </c>
      <c r="J42" s="325">
        <v>0</v>
      </c>
      <c r="K42" s="325">
        <v>0</v>
      </c>
      <c r="L42" s="325">
        <v>0</v>
      </c>
      <c r="M42" s="326">
        <v>0</v>
      </c>
      <c r="N42" s="324"/>
      <c r="O42" s="325"/>
      <c r="P42" s="325"/>
      <c r="Q42" s="325"/>
      <c r="R42" s="325"/>
      <c r="S42" s="325"/>
      <c r="T42" s="325"/>
      <c r="U42" s="325"/>
      <c r="V42" s="325"/>
      <c r="W42" s="325"/>
      <c r="X42" s="325"/>
      <c r="Y42" s="326"/>
      <c r="Z42" s="324"/>
      <c r="AA42" s="325"/>
      <c r="AB42" s="325"/>
      <c r="AC42" s="325"/>
      <c r="AD42" s="325"/>
      <c r="AE42" s="325"/>
      <c r="AF42" s="325"/>
      <c r="AG42" s="325"/>
      <c r="AH42" s="325"/>
      <c r="AI42" s="325"/>
      <c r="AJ42" s="325"/>
      <c r="AK42" s="326"/>
      <c r="AL42" s="324"/>
      <c r="AM42" s="325"/>
      <c r="AN42" s="325"/>
      <c r="AO42" s="325"/>
      <c r="AP42" s="325"/>
      <c r="AQ42" s="325"/>
      <c r="AR42" s="325"/>
      <c r="AS42" s="325"/>
      <c r="AT42" s="325"/>
      <c r="AU42" s="325"/>
      <c r="AV42" s="325"/>
      <c r="AW42" s="326"/>
      <c r="AX42" s="324"/>
      <c r="AY42" s="325"/>
      <c r="AZ42" s="325"/>
      <c r="BA42" s="325"/>
      <c r="BB42" s="325"/>
      <c r="BC42" s="325"/>
      <c r="BD42" s="325"/>
      <c r="BE42" s="325"/>
      <c r="BF42" s="325"/>
      <c r="BG42" s="325"/>
      <c r="BH42" s="325"/>
      <c r="BI42" s="326"/>
    </row>
    <row r="43" spans="1:61" x14ac:dyDescent="0.35">
      <c r="A43" t="s">
        <v>259</v>
      </c>
      <c r="B43" s="324">
        <f>B65*'Marges Produits'!$C$49</f>
        <v>12860.416666666668</v>
      </c>
      <c r="C43" s="325">
        <f>C65*'Marges Produits'!$C$49</f>
        <v>25720.833333333336</v>
      </c>
      <c r="D43" s="325">
        <f>D65*'Marges Produits'!$C$49</f>
        <v>38581.25</v>
      </c>
      <c r="E43" s="325">
        <f>E65*'Marges Produits'!$C$49</f>
        <v>64302.083333333336</v>
      </c>
      <c r="F43" s="325">
        <f>F65*'Marges Produits'!$C$49</f>
        <v>90022.916666666672</v>
      </c>
      <c r="G43" s="325">
        <f>G65*'Marges Produits'!$C$49</f>
        <v>90022.916666666672</v>
      </c>
      <c r="H43" s="325">
        <f>H65*'Marges Produits'!$C$49</f>
        <v>90022.916666666672</v>
      </c>
      <c r="I43" s="325">
        <f>I65*'Marges Produits'!$C$49</f>
        <v>77162.5</v>
      </c>
      <c r="J43" s="325">
        <f>J65*'Marges Produits'!$C$49</f>
        <v>64302.083333333336</v>
      </c>
      <c r="K43" s="325">
        <f>K65*'Marges Produits'!$C$49</f>
        <v>38581.25</v>
      </c>
      <c r="L43" s="325">
        <f>L65*'Marges Produits'!$C$49</f>
        <v>25720.833333333336</v>
      </c>
      <c r="M43" s="326">
        <f>M65*'Marges Produits'!$C$49</f>
        <v>25720.833333333336</v>
      </c>
      <c r="N43" s="324">
        <f>N65*'Marges Produits'!$C$49</f>
        <v>38581.25</v>
      </c>
      <c r="O43" s="325">
        <f>O65*'Marges Produits'!$C$49</f>
        <v>77162.5</v>
      </c>
      <c r="P43" s="325">
        <f>P65*'Marges Produits'!$C$49</f>
        <v>128604.16666666667</v>
      </c>
      <c r="Q43" s="325">
        <f>Q65*'Marges Produits'!$C$49</f>
        <v>154325</v>
      </c>
      <c r="R43" s="325">
        <f>R65*'Marges Produits'!$C$49</f>
        <v>180045.83333333334</v>
      </c>
      <c r="S43" s="325">
        <f>S65*'Marges Produits'!$C$49</f>
        <v>180045.83333333334</v>
      </c>
      <c r="T43" s="325">
        <f>T65*'Marges Produits'!$C$49</f>
        <v>180045.83333333334</v>
      </c>
      <c r="U43" s="325">
        <f>U65*'Marges Produits'!$C$49</f>
        <v>167185.41666666669</v>
      </c>
      <c r="V43" s="325">
        <f>V65*'Marges Produits'!$C$49</f>
        <v>128604.16666666667</v>
      </c>
      <c r="W43" s="325">
        <f>W65*'Marges Produits'!$C$49</f>
        <v>77162.5</v>
      </c>
      <c r="X43" s="325">
        <f>X65*'Marges Produits'!$C$49</f>
        <v>51441.666666666672</v>
      </c>
      <c r="Y43" s="326">
        <f>Y65*'Marges Produits'!$C$49</f>
        <v>51441.666666666672</v>
      </c>
      <c r="Z43" s="324">
        <f>Z65*'Marges Produits'!$C$49</f>
        <v>102883.33333333334</v>
      </c>
      <c r="AA43" s="325">
        <f>AA65*'Marges Produits'!$C$49</f>
        <v>115743.75</v>
      </c>
      <c r="AB43" s="325">
        <f>AB65*'Marges Produits'!$C$49</f>
        <v>167185.41666666669</v>
      </c>
      <c r="AC43" s="325">
        <f>AC65*'Marges Produits'!$C$49</f>
        <v>218627.08333333334</v>
      </c>
      <c r="AD43" s="325">
        <f>AD65*'Marges Produits'!$C$49</f>
        <v>257208.33333333334</v>
      </c>
      <c r="AE43" s="325">
        <f>AE65*'Marges Produits'!$C$49</f>
        <v>257208.33333333334</v>
      </c>
      <c r="AF43" s="325">
        <f>AF65*'Marges Produits'!$C$49</f>
        <v>257208.33333333334</v>
      </c>
      <c r="AG43" s="325">
        <f>AG65*'Marges Produits'!$C$49</f>
        <v>218627.08333333334</v>
      </c>
      <c r="AH43" s="325">
        <f>AH65*'Marges Produits'!$C$49</f>
        <v>192906.25</v>
      </c>
      <c r="AI43" s="325">
        <f>AI65*'Marges Produits'!$C$49</f>
        <v>115743.75</v>
      </c>
      <c r="AJ43" s="325">
        <f>AJ65*'Marges Produits'!$C$49</f>
        <v>77162.5</v>
      </c>
      <c r="AK43" s="326">
        <f>AK65*'Marges Produits'!$C$49</f>
        <v>77162.5</v>
      </c>
      <c r="AL43" s="324">
        <f>AL65*'Marges Produits'!$C$49</f>
        <v>128604.16666666667</v>
      </c>
      <c r="AM43" s="325">
        <f>AM65*'Marges Produits'!$C$49</f>
        <v>144036.66666666669</v>
      </c>
      <c r="AN43" s="325">
        <f>AN65*'Marges Produits'!$C$49</f>
        <v>208338.75</v>
      </c>
      <c r="AO43" s="325">
        <f>AO65*'Marges Produits'!$C$49</f>
        <v>272640.83333333337</v>
      </c>
      <c r="AP43" s="325">
        <f>AP65*'Marges Produits'!$C$49</f>
        <v>321510.41666666669</v>
      </c>
      <c r="AQ43" s="325">
        <f>AQ65*'Marges Produits'!$C$49</f>
        <v>321510.41666666669</v>
      </c>
      <c r="AR43" s="325">
        <f>AR65*'Marges Produits'!$C$49</f>
        <v>321510.41666666669</v>
      </c>
      <c r="AS43" s="325">
        <f>AS65*'Marges Produits'!$C$49</f>
        <v>272640.83333333337</v>
      </c>
      <c r="AT43" s="325">
        <f>AT65*'Marges Produits'!$C$49</f>
        <v>241775.83333333334</v>
      </c>
      <c r="AU43" s="325">
        <f>AU65*'Marges Produits'!$C$49</f>
        <v>144036.66666666669</v>
      </c>
      <c r="AV43" s="325">
        <f>AV65*'Marges Produits'!$C$49</f>
        <v>97739.166666666672</v>
      </c>
      <c r="AW43" s="326">
        <f>AW65*'Marges Produits'!$C$49</f>
        <v>97739.166666666672</v>
      </c>
      <c r="AX43" s="324">
        <f>AX65*(('Marges Produits'!$C$51))</f>
        <v>135034.37500000003</v>
      </c>
      <c r="AY43" s="324">
        <f>AY65*(('Marges Produits'!$C$51))</f>
        <v>151238.50000000003</v>
      </c>
      <c r="AZ43" s="324">
        <f>AZ65*(('Marges Produits'!$C$51))</f>
        <v>218755.68750000003</v>
      </c>
      <c r="BA43" s="324">
        <f>BA65*(('Marges Produits'!$C$51))</f>
        <v>286272.87500000006</v>
      </c>
      <c r="BB43" s="324">
        <f>BB65*(('Marges Produits'!$C$51))</f>
        <v>337585.93750000006</v>
      </c>
      <c r="BC43" s="324">
        <f>BC65*(('Marges Produits'!$C$51))</f>
        <v>337585.93750000006</v>
      </c>
      <c r="BD43" s="324">
        <f>BD65*(('Marges Produits'!$C$51))</f>
        <v>337585.93750000006</v>
      </c>
      <c r="BE43" s="324">
        <f>BE65*(('Marges Produits'!$C$51))</f>
        <v>286272.87500000006</v>
      </c>
      <c r="BF43" s="324">
        <f>BF65*(('Marges Produits'!$C$51))</f>
        <v>253864.62500000003</v>
      </c>
      <c r="BG43" s="324">
        <f>BG65*(('Marges Produits'!$C$51))</f>
        <v>151238.50000000003</v>
      </c>
      <c r="BH43" s="324">
        <f>BH65*(('Marges Produits'!$C$51))</f>
        <v>102626.12500000001</v>
      </c>
      <c r="BI43" s="324">
        <f>BI65*(('Marges Produits'!$C$51))</f>
        <v>102626.12500000001</v>
      </c>
    </row>
    <row r="44" spans="1:61" s="122" customFormat="1" ht="14.25" customHeight="1" x14ac:dyDescent="0.35">
      <c r="A44" s="335" t="s">
        <v>260</v>
      </c>
      <c r="B44" s="332">
        <f t="shared" ref="B44:AG44" si="7">SUM(B42:B43)</f>
        <v>12860.416666666668</v>
      </c>
      <c r="C44" s="333">
        <f t="shared" si="7"/>
        <v>25720.833333333336</v>
      </c>
      <c r="D44" s="333">
        <f t="shared" si="7"/>
        <v>88581.25</v>
      </c>
      <c r="E44" s="333">
        <f t="shared" si="7"/>
        <v>64302.083333333336</v>
      </c>
      <c r="F44" s="333">
        <f t="shared" si="7"/>
        <v>90022.916666666672</v>
      </c>
      <c r="G44" s="333">
        <f t="shared" si="7"/>
        <v>90022.916666666672</v>
      </c>
      <c r="H44" s="333">
        <f t="shared" si="7"/>
        <v>90022.916666666672</v>
      </c>
      <c r="I44" s="333">
        <f t="shared" si="7"/>
        <v>77162.5</v>
      </c>
      <c r="J44" s="333">
        <f t="shared" si="7"/>
        <v>64302.083333333336</v>
      </c>
      <c r="K44" s="333">
        <f t="shared" si="7"/>
        <v>38581.25</v>
      </c>
      <c r="L44" s="333">
        <f t="shared" si="7"/>
        <v>25720.833333333336</v>
      </c>
      <c r="M44" s="334">
        <f t="shared" si="7"/>
        <v>25720.833333333336</v>
      </c>
      <c r="N44" s="332">
        <f t="shared" si="7"/>
        <v>38581.25</v>
      </c>
      <c r="O44" s="333">
        <f t="shared" si="7"/>
        <v>77162.5</v>
      </c>
      <c r="P44" s="333">
        <f t="shared" si="7"/>
        <v>128604.16666666667</v>
      </c>
      <c r="Q44" s="333">
        <f t="shared" si="7"/>
        <v>154325</v>
      </c>
      <c r="R44" s="333">
        <f t="shared" si="7"/>
        <v>180045.83333333334</v>
      </c>
      <c r="S44" s="333">
        <f t="shared" si="7"/>
        <v>180045.83333333334</v>
      </c>
      <c r="T44" s="333">
        <f t="shared" si="7"/>
        <v>180045.83333333334</v>
      </c>
      <c r="U44" s="333">
        <f t="shared" si="7"/>
        <v>167185.41666666669</v>
      </c>
      <c r="V44" s="333">
        <f t="shared" si="7"/>
        <v>128604.16666666667</v>
      </c>
      <c r="W44" s="333">
        <f t="shared" si="7"/>
        <v>77162.5</v>
      </c>
      <c r="X44" s="333">
        <f t="shared" si="7"/>
        <v>51441.666666666672</v>
      </c>
      <c r="Y44" s="334">
        <f t="shared" si="7"/>
        <v>51441.666666666672</v>
      </c>
      <c r="Z44" s="332">
        <f t="shared" si="7"/>
        <v>102883.33333333334</v>
      </c>
      <c r="AA44" s="333">
        <f t="shared" si="7"/>
        <v>115743.75</v>
      </c>
      <c r="AB44" s="333">
        <f t="shared" si="7"/>
        <v>167185.41666666669</v>
      </c>
      <c r="AC44" s="333">
        <f t="shared" si="7"/>
        <v>218627.08333333334</v>
      </c>
      <c r="AD44" s="333">
        <f t="shared" si="7"/>
        <v>257208.33333333334</v>
      </c>
      <c r="AE44" s="333">
        <f t="shared" si="7"/>
        <v>257208.33333333334</v>
      </c>
      <c r="AF44" s="333">
        <f t="shared" si="7"/>
        <v>257208.33333333334</v>
      </c>
      <c r="AG44" s="333">
        <f t="shared" si="7"/>
        <v>218627.08333333334</v>
      </c>
      <c r="AH44" s="333">
        <f t="shared" ref="AH44:BI44" si="8">SUM(AH42:AH43)</f>
        <v>192906.25</v>
      </c>
      <c r="AI44" s="333">
        <f t="shared" si="8"/>
        <v>115743.75</v>
      </c>
      <c r="AJ44" s="333">
        <f t="shared" si="8"/>
        <v>77162.5</v>
      </c>
      <c r="AK44" s="334">
        <f t="shared" si="8"/>
        <v>77162.5</v>
      </c>
      <c r="AL44" s="332">
        <f t="shared" si="8"/>
        <v>128604.16666666667</v>
      </c>
      <c r="AM44" s="333">
        <f t="shared" si="8"/>
        <v>144036.66666666669</v>
      </c>
      <c r="AN44" s="333">
        <f t="shared" si="8"/>
        <v>208338.75</v>
      </c>
      <c r="AO44" s="333">
        <f t="shared" si="8"/>
        <v>272640.83333333337</v>
      </c>
      <c r="AP44" s="333">
        <f t="shared" si="8"/>
        <v>321510.41666666669</v>
      </c>
      <c r="AQ44" s="333">
        <f t="shared" si="8"/>
        <v>321510.41666666669</v>
      </c>
      <c r="AR44" s="333">
        <f t="shared" si="8"/>
        <v>321510.41666666669</v>
      </c>
      <c r="AS44" s="333">
        <f t="shared" si="8"/>
        <v>272640.83333333337</v>
      </c>
      <c r="AT44" s="333">
        <f t="shared" si="8"/>
        <v>241775.83333333334</v>
      </c>
      <c r="AU44" s="333">
        <f t="shared" si="8"/>
        <v>144036.66666666669</v>
      </c>
      <c r="AV44" s="333">
        <f t="shared" si="8"/>
        <v>97739.166666666672</v>
      </c>
      <c r="AW44" s="334">
        <f t="shared" si="8"/>
        <v>97739.166666666672</v>
      </c>
      <c r="AX44" s="332">
        <f t="shared" si="8"/>
        <v>135034.37500000003</v>
      </c>
      <c r="AY44" s="333">
        <f t="shared" si="8"/>
        <v>151238.50000000003</v>
      </c>
      <c r="AZ44" s="333">
        <f t="shared" si="8"/>
        <v>218755.68750000003</v>
      </c>
      <c r="BA44" s="333">
        <f t="shared" si="8"/>
        <v>286272.87500000006</v>
      </c>
      <c r="BB44" s="333">
        <f t="shared" si="8"/>
        <v>337585.93750000006</v>
      </c>
      <c r="BC44" s="333">
        <f t="shared" si="8"/>
        <v>337585.93750000006</v>
      </c>
      <c r="BD44" s="333">
        <f t="shared" si="8"/>
        <v>337585.93750000006</v>
      </c>
      <c r="BE44" s="333">
        <f t="shared" si="8"/>
        <v>286272.87500000006</v>
      </c>
      <c r="BF44" s="333">
        <f t="shared" si="8"/>
        <v>253864.62500000003</v>
      </c>
      <c r="BG44" s="333">
        <f t="shared" si="8"/>
        <v>151238.50000000003</v>
      </c>
      <c r="BH44" s="333">
        <f t="shared" si="8"/>
        <v>102626.12500000001</v>
      </c>
      <c r="BI44" s="334">
        <f t="shared" si="8"/>
        <v>102626.12500000001</v>
      </c>
    </row>
    <row r="45" spans="1:61" ht="15" customHeight="1" x14ac:dyDescent="0.35">
      <c r="B45" s="324"/>
      <c r="C45" s="325"/>
      <c r="D45" s="325"/>
      <c r="E45" s="325"/>
      <c r="F45" s="325"/>
      <c r="G45" s="325"/>
      <c r="H45" s="325"/>
      <c r="I45" s="325"/>
      <c r="J45" s="325"/>
      <c r="K45" s="325"/>
      <c r="L45" s="325"/>
      <c r="M45" s="326"/>
      <c r="N45" s="324"/>
      <c r="O45" s="325"/>
      <c r="P45" s="325"/>
      <c r="Q45" s="325"/>
      <c r="R45" s="325"/>
      <c r="S45" s="325"/>
      <c r="T45" s="325"/>
      <c r="U45" s="325"/>
      <c r="V45" s="325"/>
      <c r="W45" s="325"/>
      <c r="X45" s="325"/>
      <c r="Y45" s="326"/>
      <c r="Z45" s="324"/>
      <c r="AA45" s="325"/>
      <c r="AB45" s="325"/>
      <c r="AC45" s="325"/>
      <c r="AD45" s="325"/>
      <c r="AE45" s="325"/>
      <c r="AF45" s="325"/>
      <c r="AG45" s="325"/>
      <c r="AH45" s="325"/>
      <c r="AI45" s="325"/>
      <c r="AJ45" s="325"/>
      <c r="AK45" s="326"/>
      <c r="AL45" s="324"/>
      <c r="AM45" s="325"/>
      <c r="AN45" s="325"/>
      <c r="AO45" s="325"/>
      <c r="AP45" s="325"/>
      <c r="AQ45" s="325"/>
      <c r="AR45" s="325"/>
      <c r="AS45" s="325"/>
      <c r="AT45" s="325"/>
      <c r="AU45" s="325"/>
      <c r="AV45" s="325"/>
      <c r="AW45" s="326"/>
      <c r="AX45" s="324"/>
      <c r="AY45" s="325"/>
      <c r="AZ45" s="325"/>
      <c r="BA45" s="325"/>
      <c r="BB45" s="325"/>
      <c r="BC45" s="325"/>
      <c r="BD45" s="325"/>
      <c r="BE45" s="325"/>
      <c r="BF45" s="325"/>
      <c r="BG45" s="325"/>
      <c r="BH45" s="325"/>
      <c r="BI45" s="326"/>
    </row>
    <row r="46" spans="1:61" ht="15" customHeight="1" x14ac:dyDescent="0.35">
      <c r="A46" s="102" t="s">
        <v>261</v>
      </c>
      <c r="B46" s="324"/>
      <c r="C46" s="325"/>
      <c r="D46" s="325"/>
      <c r="E46" s="325"/>
      <c r="F46" s="325"/>
      <c r="G46" s="325"/>
      <c r="H46" s="325"/>
      <c r="I46" s="325"/>
      <c r="J46" s="325"/>
      <c r="K46" s="325"/>
      <c r="L46" s="325"/>
      <c r="M46" s="326"/>
      <c r="N46" s="324"/>
      <c r="O46" s="325"/>
      <c r="P46" s="325"/>
      <c r="Q46" s="325"/>
      <c r="R46" s="325"/>
      <c r="S46" s="325"/>
      <c r="T46" s="325"/>
      <c r="U46" s="325"/>
      <c r="V46" s="325"/>
      <c r="W46" s="325"/>
      <c r="X46" s="325"/>
      <c r="Y46" s="326"/>
      <c r="Z46" s="324"/>
      <c r="AA46" s="325"/>
      <c r="AB46" s="325"/>
      <c r="AC46" s="325"/>
      <c r="AD46" s="325"/>
      <c r="AE46" s="325"/>
      <c r="AF46" s="325"/>
      <c r="AG46" s="325"/>
      <c r="AH46" s="325"/>
      <c r="AI46" s="325"/>
      <c r="AJ46" s="325"/>
      <c r="AK46" s="326"/>
      <c r="AL46" s="324"/>
      <c r="AM46" s="325"/>
      <c r="AN46" s="325"/>
      <c r="AO46" s="325"/>
      <c r="AP46" s="325"/>
      <c r="AQ46" s="325"/>
      <c r="AR46" s="325"/>
      <c r="AS46" s="325"/>
      <c r="AT46" s="325"/>
      <c r="AU46" s="325"/>
      <c r="AV46" s="325"/>
      <c r="AW46" s="326"/>
      <c r="AX46" s="324"/>
      <c r="AY46" s="325"/>
      <c r="AZ46" s="325"/>
      <c r="BA46" s="325"/>
      <c r="BB46" s="325"/>
      <c r="BC46" s="325"/>
      <c r="BD46" s="325"/>
      <c r="BE46" s="325"/>
      <c r="BF46" s="325"/>
      <c r="BG46" s="325"/>
      <c r="BH46" s="325"/>
      <c r="BI46" s="326"/>
    </row>
    <row r="47" spans="1:61" ht="15" customHeight="1" x14ac:dyDescent="0.35">
      <c r="A47" t="s">
        <v>263</v>
      </c>
      <c r="B47" s="324">
        <f>'Charges Fixes Plume'!$C$34*2</f>
        <v>2517.1019999999999</v>
      </c>
      <c r="C47" s="325">
        <f>'Charges Fixes Plume'!$C$34*2</f>
        <v>2517.1019999999999</v>
      </c>
      <c r="D47" s="325">
        <f>'Charges Fixes Plume'!$C$34*2</f>
        <v>2517.1019999999999</v>
      </c>
      <c r="E47" s="325">
        <f>'Charges Fixes Plume'!$C$34*2</f>
        <v>2517.1019999999999</v>
      </c>
      <c r="F47" s="325">
        <f>'Charges Fixes Plume'!$C$34*2</f>
        <v>2517.1019999999999</v>
      </c>
      <c r="G47" s="325">
        <f>'Charges Fixes Plume'!$C$34*2</f>
        <v>2517.1019999999999</v>
      </c>
      <c r="H47" s="325">
        <f>'Charges Fixes Plume'!$C$34*2</f>
        <v>2517.1019999999999</v>
      </c>
      <c r="I47" s="325">
        <f>'Charges Fixes Plume'!$C$34*2</f>
        <v>2517.1019999999999</v>
      </c>
      <c r="J47" s="325">
        <f>'Charges Fixes Plume'!$C$34*2</f>
        <v>2517.1019999999999</v>
      </c>
      <c r="K47" s="325">
        <f>'Charges Fixes Plume'!$C$34*2</f>
        <v>2517.1019999999999</v>
      </c>
      <c r="L47" s="325">
        <f>'Charges Fixes Plume'!$C$34*2</f>
        <v>2517.1019999999999</v>
      </c>
      <c r="M47" s="326">
        <f>'Charges Fixes Plume'!$C$34*2</f>
        <v>2517.1019999999999</v>
      </c>
      <c r="N47" s="324">
        <f>'Charges Fixes Plume'!$C$34*2</f>
        <v>2517.1019999999999</v>
      </c>
      <c r="O47" s="325">
        <f>'Charges Fixes Plume'!$C$34*2</f>
        <v>2517.1019999999999</v>
      </c>
      <c r="P47" s="325">
        <f>'Charges Fixes Plume'!$C$34*2</f>
        <v>2517.1019999999999</v>
      </c>
      <c r="Q47" s="325">
        <f>'Charges Fixes Plume'!$C$34*2</f>
        <v>2517.1019999999999</v>
      </c>
      <c r="R47" s="325">
        <f>'Charges Fixes Plume'!$C$34*2</f>
        <v>2517.1019999999999</v>
      </c>
      <c r="S47" s="325">
        <f>'Charges Fixes Plume'!$C$34*2</f>
        <v>2517.1019999999999</v>
      </c>
      <c r="T47" s="325">
        <f>'Charges Fixes Plume'!$C$34*2</f>
        <v>2517.1019999999999</v>
      </c>
      <c r="U47" s="325">
        <f>'Charges Fixes Plume'!$C$34*2</f>
        <v>2517.1019999999999</v>
      </c>
      <c r="V47" s="325">
        <f>'Charges Fixes Plume'!$C$34*2</f>
        <v>2517.1019999999999</v>
      </c>
      <c r="W47" s="325">
        <f>'Charges Fixes Plume'!$C$34*2</f>
        <v>2517.1019999999999</v>
      </c>
      <c r="X47" s="325">
        <f>'Charges Fixes Plume'!$C$34*2</f>
        <v>2517.1019999999999</v>
      </c>
      <c r="Y47" s="326">
        <f>'Charges Fixes Plume'!$C$34*2</f>
        <v>2517.1019999999999</v>
      </c>
      <c r="Z47" s="324">
        <f>'Charges Fixes Plume'!$C$34*2</f>
        <v>2517.1019999999999</v>
      </c>
      <c r="AA47" s="325">
        <f>'Charges Fixes Plume'!$C$34*2</f>
        <v>2517.1019999999999</v>
      </c>
      <c r="AB47" s="325">
        <f>'Charges Fixes Plume'!$C$34*2</f>
        <v>2517.1019999999999</v>
      </c>
      <c r="AC47" s="325">
        <f>'Charges Fixes Plume'!$C$34*2</f>
        <v>2517.1019999999999</v>
      </c>
      <c r="AD47" s="325">
        <f>'Charges Fixes Plume'!$C$34*2</f>
        <v>2517.1019999999999</v>
      </c>
      <c r="AE47" s="325">
        <f>'Charges Fixes Plume'!$C$34*2</f>
        <v>2517.1019999999999</v>
      </c>
      <c r="AF47" s="325">
        <f>'Charges Fixes Plume'!$C$34*2</f>
        <v>2517.1019999999999</v>
      </c>
      <c r="AG47" s="325">
        <f>'Charges Fixes Plume'!$C$34*2</f>
        <v>2517.1019999999999</v>
      </c>
      <c r="AH47" s="325">
        <f>'Charges Fixes Plume'!$C$34*2</f>
        <v>2517.1019999999999</v>
      </c>
      <c r="AI47" s="325">
        <f>'Charges Fixes Plume'!$C$34*2</f>
        <v>2517.1019999999999</v>
      </c>
      <c r="AJ47" s="325">
        <f>'Charges Fixes Plume'!$C$34*2</f>
        <v>2517.1019999999999</v>
      </c>
      <c r="AK47" s="326">
        <f>'Charges Fixes Plume'!$C$34*2</f>
        <v>2517.1019999999999</v>
      </c>
      <c r="AL47" s="324">
        <f>'Charges Fixes Plume'!$C$34*2</f>
        <v>2517.1019999999999</v>
      </c>
      <c r="AM47" s="325">
        <f>'Charges Fixes Plume'!$C$34*2</f>
        <v>2517.1019999999999</v>
      </c>
      <c r="AN47" s="325">
        <f>'Charges Fixes Plume'!$C$34*2</f>
        <v>2517.1019999999999</v>
      </c>
      <c r="AO47" s="325">
        <f>'Charges Fixes Plume'!$C$34*2</f>
        <v>2517.1019999999999</v>
      </c>
      <c r="AP47" s="325">
        <f>'Charges Fixes Plume'!$C$34*2</f>
        <v>2517.1019999999999</v>
      </c>
      <c r="AQ47" s="325">
        <f>'Charges Fixes Plume'!$C$34*2</f>
        <v>2517.1019999999999</v>
      </c>
      <c r="AR47" s="325">
        <f>'Charges Fixes Plume'!$C$34*2</f>
        <v>2517.1019999999999</v>
      </c>
      <c r="AS47" s="325">
        <f>'Charges Fixes Plume'!$C$34*2</f>
        <v>2517.1019999999999</v>
      </c>
      <c r="AT47" s="325">
        <f>'Charges Fixes Plume'!$C$34*2</f>
        <v>2517.1019999999999</v>
      </c>
      <c r="AU47" s="325">
        <f>'Charges Fixes Plume'!$C$34*2</f>
        <v>2517.1019999999999</v>
      </c>
      <c r="AV47" s="325">
        <f>'Charges Fixes Plume'!$C$34*2</f>
        <v>2517.1019999999999</v>
      </c>
      <c r="AW47" s="326">
        <f>'Charges Fixes Plume'!$C$34*2</f>
        <v>2517.1019999999999</v>
      </c>
      <c r="AX47" s="324">
        <f>'Charges Fixes Plume'!$C$34*2</f>
        <v>2517.1019999999999</v>
      </c>
      <c r="AY47" s="325">
        <f>'Charges Fixes Plume'!$C$34*2</f>
        <v>2517.1019999999999</v>
      </c>
      <c r="AZ47" s="325">
        <f>'Charges Fixes Plume'!$C$34*2</f>
        <v>2517.1019999999999</v>
      </c>
      <c r="BA47" s="325">
        <f>'Charges Fixes Plume'!$C$34*2</f>
        <v>2517.1019999999999</v>
      </c>
      <c r="BB47" s="325">
        <f>'Charges Fixes Plume'!$C$34*2</f>
        <v>2517.1019999999999</v>
      </c>
      <c r="BC47" s="325">
        <f>'Charges Fixes Plume'!$C$34*2</f>
        <v>2517.1019999999999</v>
      </c>
      <c r="BD47" s="325">
        <f>'Charges Fixes Plume'!$C$34*2</f>
        <v>2517.1019999999999</v>
      </c>
      <c r="BE47" s="325">
        <f>'Charges Fixes Plume'!$C$34*2</f>
        <v>2517.1019999999999</v>
      </c>
      <c r="BF47" s="325">
        <f>'Charges Fixes Plume'!$C$34*2</f>
        <v>2517.1019999999999</v>
      </c>
      <c r="BG47" s="325">
        <f>'Charges Fixes Plume'!$C$34*2</f>
        <v>2517.1019999999999</v>
      </c>
      <c r="BH47" s="325">
        <f>'Charges Fixes Plume'!$C$34*2</f>
        <v>2517.1019999999999</v>
      </c>
      <c r="BI47" s="326">
        <f>'Charges Fixes Plume'!$C$34*2</f>
        <v>2517.1019999999999</v>
      </c>
    </row>
    <row r="48" spans="1:61" ht="15" customHeight="1" x14ac:dyDescent="0.35">
      <c r="A48" t="s">
        <v>105</v>
      </c>
      <c r="B48" s="324">
        <v>2500</v>
      </c>
      <c r="C48" s="325">
        <v>0</v>
      </c>
      <c r="D48" s="325">
        <v>0</v>
      </c>
      <c r="E48" s="325">
        <v>0</v>
      </c>
      <c r="F48" s="325">
        <v>0</v>
      </c>
      <c r="G48" s="325">
        <v>0</v>
      </c>
      <c r="H48" s="325">
        <v>2500</v>
      </c>
      <c r="I48" s="325">
        <v>0</v>
      </c>
      <c r="J48" s="325">
        <v>0</v>
      </c>
      <c r="K48" s="325">
        <v>0</v>
      </c>
      <c r="L48" s="325">
        <v>0</v>
      </c>
      <c r="M48" s="326">
        <v>0</v>
      </c>
      <c r="N48" s="324">
        <f>B48</f>
        <v>2500</v>
      </c>
      <c r="O48" s="324">
        <f t="shared" ref="O48:Y48" si="9">C48</f>
        <v>0</v>
      </c>
      <c r="P48" s="324">
        <f t="shared" si="9"/>
        <v>0</v>
      </c>
      <c r="Q48" s="324">
        <f t="shared" si="9"/>
        <v>0</v>
      </c>
      <c r="R48" s="324">
        <f t="shared" si="9"/>
        <v>0</v>
      </c>
      <c r="S48" s="324">
        <f t="shared" si="9"/>
        <v>0</v>
      </c>
      <c r="T48" s="324">
        <f t="shared" si="9"/>
        <v>2500</v>
      </c>
      <c r="U48" s="324">
        <f t="shared" si="9"/>
        <v>0</v>
      </c>
      <c r="V48" s="324">
        <f t="shared" si="9"/>
        <v>0</v>
      </c>
      <c r="W48" s="324">
        <f t="shared" si="9"/>
        <v>0</v>
      </c>
      <c r="X48" s="324">
        <f t="shared" si="9"/>
        <v>0</v>
      </c>
      <c r="Y48" s="324">
        <f t="shared" si="9"/>
        <v>0</v>
      </c>
      <c r="Z48" s="325">
        <f>N48</f>
        <v>2500</v>
      </c>
      <c r="AA48" s="325">
        <f t="shared" ref="AA48:AK48" si="10">O48</f>
        <v>0</v>
      </c>
      <c r="AB48" s="325">
        <f t="shared" si="10"/>
        <v>0</v>
      </c>
      <c r="AC48" s="325">
        <f t="shared" si="10"/>
        <v>0</v>
      </c>
      <c r="AD48" s="325">
        <f t="shared" si="10"/>
        <v>0</v>
      </c>
      <c r="AE48" s="325">
        <f t="shared" si="10"/>
        <v>0</v>
      </c>
      <c r="AF48" s="325">
        <f t="shared" si="10"/>
        <v>2500</v>
      </c>
      <c r="AG48" s="325">
        <f t="shared" si="10"/>
        <v>0</v>
      </c>
      <c r="AH48" s="325">
        <f t="shared" si="10"/>
        <v>0</v>
      </c>
      <c r="AI48" s="325">
        <f t="shared" si="10"/>
        <v>0</v>
      </c>
      <c r="AJ48" s="325">
        <f t="shared" si="10"/>
        <v>0</v>
      </c>
      <c r="AK48" s="325">
        <f t="shared" si="10"/>
        <v>0</v>
      </c>
      <c r="AL48" s="325">
        <f>Z48</f>
        <v>2500</v>
      </c>
      <c r="AM48" s="325">
        <f t="shared" ref="AM48:AW48" si="11">AA48</f>
        <v>0</v>
      </c>
      <c r="AN48" s="325">
        <f t="shared" si="11"/>
        <v>0</v>
      </c>
      <c r="AO48" s="325">
        <f t="shared" si="11"/>
        <v>0</v>
      </c>
      <c r="AP48" s="325">
        <f t="shared" si="11"/>
        <v>0</v>
      </c>
      <c r="AQ48" s="325">
        <f t="shared" si="11"/>
        <v>0</v>
      </c>
      <c r="AR48" s="325">
        <f t="shared" si="11"/>
        <v>2500</v>
      </c>
      <c r="AS48" s="325">
        <f t="shared" si="11"/>
        <v>0</v>
      </c>
      <c r="AT48" s="325">
        <f t="shared" si="11"/>
        <v>0</v>
      </c>
      <c r="AU48" s="325">
        <f t="shared" si="11"/>
        <v>0</v>
      </c>
      <c r="AV48" s="325">
        <f t="shared" si="11"/>
        <v>0</v>
      </c>
      <c r="AW48" s="325">
        <f t="shared" si="11"/>
        <v>0</v>
      </c>
      <c r="AX48" s="325">
        <f>AL48</f>
        <v>2500</v>
      </c>
      <c r="AY48" s="325">
        <f t="shared" ref="AY48:BI48" si="12">AM48</f>
        <v>0</v>
      </c>
      <c r="AZ48" s="325">
        <f t="shared" si="12"/>
        <v>0</v>
      </c>
      <c r="BA48" s="325">
        <f t="shared" si="12"/>
        <v>0</v>
      </c>
      <c r="BB48" s="325">
        <f t="shared" si="12"/>
        <v>0</v>
      </c>
      <c r="BC48" s="325">
        <f t="shared" si="12"/>
        <v>0</v>
      </c>
      <c r="BD48" s="325">
        <f t="shared" si="12"/>
        <v>2500</v>
      </c>
      <c r="BE48" s="325">
        <f t="shared" si="12"/>
        <v>0</v>
      </c>
      <c r="BF48" s="325">
        <f t="shared" si="12"/>
        <v>0</v>
      </c>
      <c r="BG48" s="325">
        <f t="shared" si="12"/>
        <v>0</v>
      </c>
      <c r="BH48" s="325">
        <f t="shared" si="12"/>
        <v>0</v>
      </c>
      <c r="BI48" s="325">
        <f t="shared" si="12"/>
        <v>0</v>
      </c>
    </row>
    <row r="49" spans="1:86" ht="15" customHeight="1" x14ac:dyDescent="0.35">
      <c r="A49" t="s">
        <v>21</v>
      </c>
      <c r="B49" s="324">
        <f t="shared" ref="B49:M49" si="13">C19</f>
        <v>10907.666666666668</v>
      </c>
      <c r="C49" s="324">
        <f t="shared" si="13"/>
        <v>6341.666666666667</v>
      </c>
      <c r="D49" s="324">
        <f t="shared" si="13"/>
        <v>10907.666666666668</v>
      </c>
      <c r="E49" s="324">
        <f t="shared" si="13"/>
        <v>4341.666666666667</v>
      </c>
      <c r="F49" s="324">
        <f t="shared" si="13"/>
        <v>8907.6666666666679</v>
      </c>
      <c r="G49" s="324">
        <f t="shared" si="13"/>
        <v>4341.666666666667</v>
      </c>
      <c r="H49" s="324">
        <f t="shared" si="13"/>
        <v>7907.666666666667</v>
      </c>
      <c r="I49" s="324">
        <f t="shared" si="13"/>
        <v>3341.666666666667</v>
      </c>
      <c r="J49" s="324">
        <f t="shared" si="13"/>
        <v>8907.6666666666679</v>
      </c>
      <c r="K49" s="324">
        <f t="shared" si="13"/>
        <v>4341.666666666667</v>
      </c>
      <c r="L49" s="324">
        <f t="shared" si="13"/>
        <v>8907.6666666666679</v>
      </c>
      <c r="M49" s="324">
        <f t="shared" si="13"/>
        <v>4341.666666666667</v>
      </c>
      <c r="N49" s="324">
        <f t="shared" ref="N49:N52" si="14">B49</f>
        <v>10907.666666666668</v>
      </c>
      <c r="O49" s="324">
        <f t="shared" ref="O49:O53" si="15">C49</f>
        <v>6341.666666666667</v>
      </c>
      <c r="P49" s="324">
        <f t="shared" ref="P49:P53" si="16">D49</f>
        <v>10907.666666666668</v>
      </c>
      <c r="Q49" s="324">
        <f t="shared" ref="Q49:Q52" si="17">E49</f>
        <v>4341.666666666667</v>
      </c>
      <c r="R49" s="324">
        <f t="shared" ref="R49:R53" si="18">F49</f>
        <v>8907.6666666666679</v>
      </c>
      <c r="S49" s="324">
        <f t="shared" ref="S49:S53" si="19">G49</f>
        <v>4341.666666666667</v>
      </c>
      <c r="T49" s="324">
        <f t="shared" ref="T49:T53" si="20">H49</f>
        <v>7907.666666666667</v>
      </c>
      <c r="U49" s="324">
        <f t="shared" ref="U49:U53" si="21">I49</f>
        <v>3341.666666666667</v>
      </c>
      <c r="V49" s="324">
        <f t="shared" ref="V49:V53" si="22">J49</f>
        <v>8907.6666666666679</v>
      </c>
      <c r="W49" s="324">
        <f t="shared" ref="W49:W53" si="23">K49</f>
        <v>4341.666666666667</v>
      </c>
      <c r="X49" s="324">
        <f t="shared" ref="X49:X53" si="24">L49</f>
        <v>8907.6666666666679</v>
      </c>
      <c r="Y49" s="324">
        <f t="shared" ref="Y49:Y53" si="25">M49</f>
        <v>4341.666666666667</v>
      </c>
      <c r="Z49" s="324">
        <f t="shared" ref="Z49:Z52" si="26">N49</f>
        <v>10907.666666666668</v>
      </c>
      <c r="AA49" s="324">
        <f t="shared" ref="AA49:AA53" si="27">O49</f>
        <v>6341.666666666667</v>
      </c>
      <c r="AB49" s="324">
        <f t="shared" ref="AB49:AB53" si="28">P49</f>
        <v>10907.666666666668</v>
      </c>
      <c r="AC49" s="324">
        <f t="shared" ref="AC49:AC53" si="29">Q49</f>
        <v>4341.666666666667</v>
      </c>
      <c r="AD49" s="324">
        <f t="shared" ref="AD49:AD53" si="30">R49</f>
        <v>8907.6666666666679</v>
      </c>
      <c r="AE49" s="324">
        <f t="shared" ref="AE49:AE53" si="31">S49</f>
        <v>4341.666666666667</v>
      </c>
      <c r="AF49" s="324">
        <f t="shared" ref="AF49:AF53" si="32">T49</f>
        <v>7907.666666666667</v>
      </c>
      <c r="AG49" s="324">
        <f t="shared" ref="AG49:AG53" si="33">U49</f>
        <v>3341.666666666667</v>
      </c>
      <c r="AH49" s="324">
        <f t="shared" ref="AH49:AH53" si="34">V49</f>
        <v>8907.6666666666679</v>
      </c>
      <c r="AI49" s="324">
        <f t="shared" ref="AI49:AI53" si="35">W49</f>
        <v>4341.666666666667</v>
      </c>
      <c r="AJ49" s="324">
        <f t="shared" ref="AJ49:AJ53" si="36">X49</f>
        <v>8907.6666666666679</v>
      </c>
      <c r="AK49" s="324">
        <f t="shared" ref="AK49:AK53" si="37">Y49</f>
        <v>4341.666666666667</v>
      </c>
      <c r="AL49" s="324">
        <f t="shared" ref="AL49:AL52" si="38">Z49</f>
        <v>10907.666666666668</v>
      </c>
      <c r="AM49" s="324">
        <f t="shared" ref="AM49:AM53" si="39">AA49</f>
        <v>6341.666666666667</v>
      </c>
      <c r="AN49" s="324">
        <f t="shared" ref="AN49:AN53" si="40">AB49</f>
        <v>10907.666666666668</v>
      </c>
      <c r="AO49" s="324">
        <f t="shared" ref="AO49:AO53" si="41">AC49</f>
        <v>4341.666666666667</v>
      </c>
      <c r="AP49" s="324">
        <f t="shared" ref="AP49:AP53" si="42">AD49</f>
        <v>8907.6666666666679</v>
      </c>
      <c r="AQ49" s="324">
        <f t="shared" ref="AQ49:AQ53" si="43">AE49</f>
        <v>4341.666666666667</v>
      </c>
      <c r="AR49" s="324">
        <f t="shared" ref="AR49:AR53" si="44">AF49</f>
        <v>7907.666666666667</v>
      </c>
      <c r="AS49" s="324">
        <f t="shared" ref="AS49:AS53" si="45">AG49</f>
        <v>3341.666666666667</v>
      </c>
      <c r="AT49" s="324">
        <f t="shared" ref="AT49:AT53" si="46">AH49</f>
        <v>8907.6666666666679</v>
      </c>
      <c r="AU49" s="324">
        <f t="shared" ref="AU49:AU53" si="47">AI49</f>
        <v>4341.666666666667</v>
      </c>
      <c r="AV49" s="324">
        <f t="shared" ref="AV49:AV53" si="48">AJ49</f>
        <v>8907.6666666666679</v>
      </c>
      <c r="AW49" s="324">
        <f t="shared" ref="AW49:AW53" si="49">AK49</f>
        <v>4341.666666666667</v>
      </c>
      <c r="AX49" s="324">
        <f t="shared" ref="AX49:AX52" si="50">AL49</f>
        <v>10907.666666666668</v>
      </c>
      <c r="AY49" s="324">
        <f t="shared" ref="AY49:AY53" si="51">AM49</f>
        <v>6341.666666666667</v>
      </c>
      <c r="AZ49" s="324">
        <f t="shared" ref="AZ49:AZ53" si="52">AN49</f>
        <v>10907.666666666668</v>
      </c>
      <c r="BA49" s="324">
        <f t="shared" ref="BA49:BA53" si="53">AO49</f>
        <v>4341.666666666667</v>
      </c>
      <c r="BB49" s="324">
        <f t="shared" ref="BB49:BB53" si="54">AP49</f>
        <v>8907.6666666666679</v>
      </c>
      <c r="BC49" s="324">
        <f t="shared" ref="BC49:BC53" si="55">AQ49</f>
        <v>4341.666666666667</v>
      </c>
      <c r="BD49" s="324">
        <f t="shared" ref="BD49:BD53" si="56">AR49</f>
        <v>7907.666666666667</v>
      </c>
      <c r="BE49" s="324">
        <f t="shared" ref="BE49:BE53" si="57">AS49</f>
        <v>3341.666666666667</v>
      </c>
      <c r="BF49" s="324">
        <f t="shared" ref="BF49:BF53" si="58">AT49</f>
        <v>8907.6666666666679</v>
      </c>
      <c r="BG49" s="324">
        <f t="shared" ref="BG49:BG53" si="59">AU49</f>
        <v>4341.666666666667</v>
      </c>
      <c r="BH49" s="324">
        <f t="shared" ref="BH49:BH53" si="60">AV49</f>
        <v>8907.6666666666679</v>
      </c>
      <c r="BI49" s="324">
        <f t="shared" ref="BI49:BI53" si="61">AW49</f>
        <v>4341.666666666667</v>
      </c>
    </row>
    <row r="50" spans="1:86" ht="15" customHeight="1" x14ac:dyDescent="0.35">
      <c r="A50" s="323" t="s">
        <v>498</v>
      </c>
      <c r="B50" s="330">
        <f>IF($O$35&gt;499,'Charges Fixes Plume'!G55,0)</f>
        <v>0</v>
      </c>
      <c r="C50" s="330">
        <f>IF($O$35&gt;499,'Charges Fixes Plume'!H55,0)</f>
        <v>0</v>
      </c>
      <c r="D50" s="330">
        <f>IF($O$35&gt;499,'Charges Fixes Plume'!I55,0)</f>
        <v>0</v>
      </c>
      <c r="E50" s="330">
        <f>IF($O$35&gt;499,'Charges Fixes Plume'!J55,0)</f>
        <v>0</v>
      </c>
      <c r="F50" s="330">
        <f>IF($O$35&gt;499,'Charges Fixes Plume'!K55,0)</f>
        <v>0</v>
      </c>
      <c r="G50" s="330">
        <f>IF($O$35&gt;499,'Charges Fixes Plume'!L55,0)</f>
        <v>0</v>
      </c>
      <c r="H50" s="330">
        <f>IF($O$35&gt;499,'Charges Fixes Plume'!M55,0)</f>
        <v>0</v>
      </c>
      <c r="I50" s="330">
        <f>IF($O$35&gt;499,'Charges Fixes Plume'!N55,0)</f>
        <v>0</v>
      </c>
      <c r="J50" s="330">
        <f>IF($O$35&gt;499,'Charges Fixes Plume'!O55,0)</f>
        <v>0</v>
      </c>
      <c r="K50" s="330">
        <f>IF($O$35&gt;499,'Charges Fixes Plume'!P55,0)</f>
        <v>0</v>
      </c>
      <c r="L50" s="330">
        <f>IF($O$35&gt;499,'Charges Fixes Plume'!Q55,0)</f>
        <v>0</v>
      </c>
      <c r="M50" s="330">
        <f>IF($O$35&gt;499,'Charges Fixes Plume'!R55,0)</f>
        <v>0</v>
      </c>
      <c r="N50" s="330">
        <f>IF($M$68&gt;499,'Charges Fixes Plume'!G55,0)</f>
        <v>0</v>
      </c>
      <c r="O50" s="330">
        <f>IF($M$68&gt;499,'Charges Fixes Plume'!H55,0)</f>
        <v>0</v>
      </c>
      <c r="P50" s="330">
        <f>IF($M$68&gt;499,'Charges Fixes Plume'!I55,0)</f>
        <v>0</v>
      </c>
      <c r="Q50" s="330">
        <f>IF($M$68&gt;499,'Charges Fixes Plume'!J55,0)</f>
        <v>0</v>
      </c>
      <c r="R50" s="330">
        <f>IF($M$68&gt;499,'Charges Fixes Plume'!K55,0)</f>
        <v>0</v>
      </c>
      <c r="S50" s="330">
        <f>IF($M$68&gt;499,'Charges Fixes Plume'!L55,0)</f>
        <v>0</v>
      </c>
      <c r="T50" s="330">
        <f>IF($M$68&gt;499,'Charges Fixes Plume'!M55,0)</f>
        <v>0</v>
      </c>
      <c r="U50" s="330">
        <f>IF($M$68&gt;499,'Charges Fixes Plume'!N55,0)</f>
        <v>0</v>
      </c>
      <c r="V50" s="330">
        <f>IF($M$68&gt;499,'Charges Fixes Plume'!O55,0)</f>
        <v>0</v>
      </c>
      <c r="W50" s="330">
        <f>IF($M$68&gt;499,'Charges Fixes Plume'!P55,0)</f>
        <v>0</v>
      </c>
      <c r="X50" s="330">
        <f>IF($M$68&gt;499,'Charges Fixes Plume'!Q55,0)</f>
        <v>0</v>
      </c>
      <c r="Y50" s="330">
        <f>IF($M$68&gt;499,'Charges Fixes Plume'!R55,0)</f>
        <v>0</v>
      </c>
      <c r="Z50" s="330">
        <f>IF($Y$68&gt;499,'Charges Fixes Plume'!G55,0)</f>
        <v>11375.333333333334</v>
      </c>
      <c r="AA50" s="330">
        <f>IF($Y$68&gt;499,'Charges Fixes Plume'!H55,0)</f>
        <v>11375.333333333334</v>
      </c>
      <c r="AB50" s="330">
        <f>IF($Y$68&gt;499,'Charges Fixes Plume'!I55,0)</f>
        <v>11375.333333333334</v>
      </c>
      <c r="AC50" s="330">
        <f>IF($Y$68&gt;499,'Charges Fixes Plume'!J55,0)</f>
        <v>11375.333333333334</v>
      </c>
      <c r="AD50" s="330">
        <f>IF($Y$68&gt;499,'Charges Fixes Plume'!K55,0)</f>
        <v>11375.333333333334</v>
      </c>
      <c r="AE50" s="330">
        <f>IF($Y$68&gt;499,'Charges Fixes Plume'!L55,0)</f>
        <v>11375.333333333334</v>
      </c>
      <c r="AF50" s="330">
        <f>IF($Y$68&gt;499,'Charges Fixes Plume'!M55,0)</f>
        <v>11375.333333333334</v>
      </c>
      <c r="AG50" s="330">
        <f>IF($Y$68&gt;499,'Charges Fixes Plume'!N55,0)</f>
        <v>11375.333333333334</v>
      </c>
      <c r="AH50" s="330">
        <f>IF($Y$68&gt;499,'Charges Fixes Plume'!O55,0)</f>
        <v>11375.333333333334</v>
      </c>
      <c r="AI50" s="330">
        <f>IF($Y$68&gt;499,'Charges Fixes Plume'!P55,0)</f>
        <v>11375.333333333334</v>
      </c>
      <c r="AJ50" s="330">
        <f>IF($Y$68&gt;499,'Charges Fixes Plume'!Q55,0)</f>
        <v>11375.333333333334</v>
      </c>
      <c r="AK50" s="330">
        <f>IF($Y$68&gt;499,'Charges Fixes Plume'!R55,0)</f>
        <v>11375.333333333334</v>
      </c>
      <c r="AL50" s="330">
        <f>IF($AK$68&gt;499,'Charges Fixes Plume'!G55,0)</f>
        <v>11375.333333333334</v>
      </c>
      <c r="AM50" s="330">
        <f>IF($AK$68&gt;499,'Charges Fixes Plume'!H55,0)</f>
        <v>11375.333333333334</v>
      </c>
      <c r="AN50" s="330">
        <f>IF($AK$68&gt;499,'Charges Fixes Plume'!I55,0)</f>
        <v>11375.333333333334</v>
      </c>
      <c r="AO50" s="330">
        <f>IF($AK$68&gt;499,'Charges Fixes Plume'!J55,0)</f>
        <v>11375.333333333334</v>
      </c>
      <c r="AP50" s="330">
        <f>IF($AK$68&gt;499,'Charges Fixes Plume'!K55,0)</f>
        <v>11375.333333333334</v>
      </c>
      <c r="AQ50" s="330">
        <f>IF($AK$68&gt;499,'Charges Fixes Plume'!L55,0)</f>
        <v>11375.333333333334</v>
      </c>
      <c r="AR50" s="330">
        <f>IF($AK$68&gt;499,'Charges Fixes Plume'!M55,0)</f>
        <v>11375.333333333334</v>
      </c>
      <c r="AS50" s="330">
        <f>IF($AK$68&gt;499,'Charges Fixes Plume'!N55,0)</f>
        <v>11375.333333333334</v>
      </c>
      <c r="AT50" s="330">
        <f>IF($AK$68&gt;499,'Charges Fixes Plume'!O55,0)</f>
        <v>11375.333333333334</v>
      </c>
      <c r="AU50" s="330">
        <f>IF($AK$68&gt;499,'Charges Fixes Plume'!P55,0)</f>
        <v>11375.333333333334</v>
      </c>
      <c r="AV50" s="330">
        <f>IF($AK$68&gt;499,'Charges Fixes Plume'!Q55,0)</f>
        <v>11375.333333333334</v>
      </c>
      <c r="AW50" s="330">
        <f>IF($AK$68&gt;499,'Charges Fixes Plume'!R55,0)</f>
        <v>11375.333333333334</v>
      </c>
      <c r="AX50" s="330">
        <f>IF($AW$68&gt;499,'Charges Fixes Plume'!G55,0)</f>
        <v>11375.333333333334</v>
      </c>
      <c r="AY50" s="330">
        <f>IF($AW$68&gt;499,'Charges Fixes Plume'!H55,0)</f>
        <v>11375.333333333334</v>
      </c>
      <c r="AZ50" s="330">
        <f>IF($AW$68&gt;499,'Charges Fixes Plume'!I55,0)</f>
        <v>11375.333333333334</v>
      </c>
      <c r="BA50" s="330">
        <f>IF($AW$68&gt;499,'Charges Fixes Plume'!J55,0)</f>
        <v>11375.333333333334</v>
      </c>
      <c r="BB50" s="330">
        <f>IF($AW$68&gt;499,'Charges Fixes Plume'!K55,0)</f>
        <v>11375.333333333334</v>
      </c>
      <c r="BC50" s="330">
        <f>IF($AW$68&gt;499,'Charges Fixes Plume'!L55,0)</f>
        <v>11375.333333333334</v>
      </c>
      <c r="BD50" s="330">
        <f>IF($AW$68&gt;499,'Charges Fixes Plume'!M55,0)</f>
        <v>11375.333333333334</v>
      </c>
      <c r="BE50" s="330">
        <f>IF($AW$68&gt;499,'Charges Fixes Plume'!N55,0)</f>
        <v>11375.333333333334</v>
      </c>
      <c r="BF50" s="330">
        <f>IF($AW$68&gt;499,'Charges Fixes Plume'!O55,0)</f>
        <v>11375.333333333334</v>
      </c>
      <c r="BG50" s="330">
        <f>IF($AW$68&gt;499,'Charges Fixes Plume'!P55,0)</f>
        <v>11375.333333333334</v>
      </c>
      <c r="BH50" s="330">
        <f>IF($AW$68&gt;499,'Charges Fixes Plume'!Q55,0)</f>
        <v>11375.333333333334</v>
      </c>
      <c r="BI50" s="330">
        <f>IF($AW$68&gt;499,'Charges Fixes Plume'!R55,0)</f>
        <v>11375.333333333334</v>
      </c>
    </row>
    <row r="51" spans="1:86" ht="14.25" customHeight="1" x14ac:dyDescent="0.35">
      <c r="A51" t="s">
        <v>264</v>
      </c>
      <c r="B51" s="324">
        <f t="shared" ref="B51:M51" si="62">C21</f>
        <v>9057.2999999999993</v>
      </c>
      <c r="C51" s="324">
        <f t="shared" si="62"/>
        <v>3977.2999999999997</v>
      </c>
      <c r="D51" s="324">
        <f t="shared" si="62"/>
        <v>3407.2999999999997</v>
      </c>
      <c r="E51" s="324">
        <f t="shared" si="62"/>
        <v>4407.2999999999993</v>
      </c>
      <c r="F51" s="324">
        <f t="shared" si="62"/>
        <v>3407.2999999999997</v>
      </c>
      <c r="G51" s="324">
        <f t="shared" si="62"/>
        <v>3407.2999999999997</v>
      </c>
      <c r="H51" s="324">
        <f t="shared" si="62"/>
        <v>4407.2999999999993</v>
      </c>
      <c r="I51" s="324">
        <f t="shared" si="62"/>
        <v>3407.2999999999997</v>
      </c>
      <c r="J51" s="324">
        <f t="shared" si="62"/>
        <v>3407.2999999999997</v>
      </c>
      <c r="K51" s="324">
        <f t="shared" si="62"/>
        <v>4407.2999999999993</v>
      </c>
      <c r="L51" s="324">
        <f t="shared" si="62"/>
        <v>3407.2999999999997</v>
      </c>
      <c r="M51" s="324">
        <f t="shared" si="62"/>
        <v>3457.2999999999997</v>
      </c>
      <c r="N51" s="324">
        <f t="shared" si="14"/>
        <v>9057.2999999999993</v>
      </c>
      <c r="O51" s="324">
        <f t="shared" si="15"/>
        <v>3977.2999999999997</v>
      </c>
      <c r="P51" s="324">
        <f t="shared" si="16"/>
        <v>3407.2999999999997</v>
      </c>
      <c r="Q51" s="324">
        <f t="shared" si="17"/>
        <v>4407.2999999999993</v>
      </c>
      <c r="R51" s="324">
        <f t="shared" si="18"/>
        <v>3407.2999999999997</v>
      </c>
      <c r="S51" s="324">
        <f t="shared" si="19"/>
        <v>3407.2999999999997</v>
      </c>
      <c r="T51" s="324">
        <f t="shared" si="20"/>
        <v>4407.2999999999993</v>
      </c>
      <c r="U51" s="324">
        <f t="shared" si="21"/>
        <v>3407.2999999999997</v>
      </c>
      <c r="V51" s="324">
        <f t="shared" si="22"/>
        <v>3407.2999999999997</v>
      </c>
      <c r="W51" s="324">
        <f t="shared" si="23"/>
        <v>4407.2999999999993</v>
      </c>
      <c r="X51" s="324">
        <f t="shared" si="24"/>
        <v>3407.2999999999997</v>
      </c>
      <c r="Y51" s="324">
        <f t="shared" si="25"/>
        <v>3457.2999999999997</v>
      </c>
      <c r="Z51" s="324">
        <f t="shared" si="26"/>
        <v>9057.2999999999993</v>
      </c>
      <c r="AA51" s="324">
        <f t="shared" si="27"/>
        <v>3977.2999999999997</v>
      </c>
      <c r="AB51" s="324">
        <f t="shared" si="28"/>
        <v>3407.2999999999997</v>
      </c>
      <c r="AC51" s="324">
        <f t="shared" si="29"/>
        <v>4407.2999999999993</v>
      </c>
      <c r="AD51" s="324">
        <f t="shared" si="30"/>
        <v>3407.2999999999997</v>
      </c>
      <c r="AE51" s="324">
        <f t="shared" si="31"/>
        <v>3407.2999999999997</v>
      </c>
      <c r="AF51" s="324">
        <f t="shared" si="32"/>
        <v>4407.2999999999993</v>
      </c>
      <c r="AG51" s="324">
        <f t="shared" si="33"/>
        <v>3407.2999999999997</v>
      </c>
      <c r="AH51" s="324">
        <f t="shared" si="34"/>
        <v>3407.2999999999997</v>
      </c>
      <c r="AI51" s="324">
        <f t="shared" si="35"/>
        <v>4407.2999999999993</v>
      </c>
      <c r="AJ51" s="324">
        <f t="shared" si="36"/>
        <v>3407.2999999999997</v>
      </c>
      <c r="AK51" s="324">
        <f t="shared" si="37"/>
        <v>3457.2999999999997</v>
      </c>
      <c r="AL51" s="324">
        <f t="shared" si="38"/>
        <v>9057.2999999999993</v>
      </c>
      <c r="AM51" s="324">
        <f t="shared" si="39"/>
        <v>3977.2999999999997</v>
      </c>
      <c r="AN51" s="324">
        <f t="shared" si="40"/>
        <v>3407.2999999999997</v>
      </c>
      <c r="AO51" s="324">
        <f t="shared" si="41"/>
        <v>4407.2999999999993</v>
      </c>
      <c r="AP51" s="324">
        <f t="shared" si="42"/>
        <v>3407.2999999999997</v>
      </c>
      <c r="AQ51" s="324">
        <f t="shared" si="43"/>
        <v>3407.2999999999997</v>
      </c>
      <c r="AR51" s="324">
        <f t="shared" si="44"/>
        <v>4407.2999999999993</v>
      </c>
      <c r="AS51" s="324">
        <f t="shared" si="45"/>
        <v>3407.2999999999997</v>
      </c>
      <c r="AT51" s="324">
        <f t="shared" si="46"/>
        <v>3407.2999999999997</v>
      </c>
      <c r="AU51" s="324">
        <f t="shared" si="47"/>
        <v>4407.2999999999993</v>
      </c>
      <c r="AV51" s="324">
        <f t="shared" si="48"/>
        <v>3407.2999999999997</v>
      </c>
      <c r="AW51" s="324">
        <f t="shared" si="49"/>
        <v>3457.2999999999997</v>
      </c>
      <c r="AX51" s="324">
        <f t="shared" si="50"/>
        <v>9057.2999999999993</v>
      </c>
      <c r="AY51" s="324">
        <f t="shared" si="51"/>
        <v>3977.2999999999997</v>
      </c>
      <c r="AZ51" s="324">
        <f t="shared" si="52"/>
        <v>3407.2999999999997</v>
      </c>
      <c r="BA51" s="324">
        <f t="shared" si="53"/>
        <v>4407.2999999999993</v>
      </c>
      <c r="BB51" s="324">
        <f t="shared" si="54"/>
        <v>3407.2999999999997</v>
      </c>
      <c r="BC51" s="324">
        <f t="shared" si="55"/>
        <v>3407.2999999999997</v>
      </c>
      <c r="BD51" s="324">
        <f t="shared" si="56"/>
        <v>4407.2999999999993</v>
      </c>
      <c r="BE51" s="324">
        <f t="shared" si="57"/>
        <v>3407.2999999999997</v>
      </c>
      <c r="BF51" s="324">
        <f t="shared" si="58"/>
        <v>3407.2999999999997</v>
      </c>
      <c r="BG51" s="324">
        <f t="shared" si="59"/>
        <v>4407.2999999999993</v>
      </c>
      <c r="BH51" s="324">
        <f t="shared" si="60"/>
        <v>3407.2999999999997</v>
      </c>
      <c r="BI51" s="324">
        <f t="shared" si="61"/>
        <v>3457.2999999999997</v>
      </c>
    </row>
    <row r="52" spans="1:86" ht="15" customHeight="1" x14ac:dyDescent="0.35">
      <c r="A52" t="s">
        <v>265</v>
      </c>
      <c r="B52" s="325">
        <f t="shared" ref="B52:M52" si="63">C22</f>
        <v>0</v>
      </c>
      <c r="C52" s="325">
        <f t="shared" si="63"/>
        <v>0</v>
      </c>
      <c r="D52" s="325">
        <f t="shared" si="63"/>
        <v>5034.2039999999997</v>
      </c>
      <c r="E52" s="325">
        <f t="shared" si="63"/>
        <v>0</v>
      </c>
      <c r="F52" s="325">
        <f t="shared" si="63"/>
        <v>5034.2039999999997</v>
      </c>
      <c r="G52" s="325">
        <f t="shared" si="63"/>
        <v>0</v>
      </c>
      <c r="H52" s="325">
        <f t="shared" si="63"/>
        <v>0</v>
      </c>
      <c r="I52" s="325">
        <f t="shared" si="63"/>
        <v>0</v>
      </c>
      <c r="J52" s="325">
        <f t="shared" si="63"/>
        <v>0</v>
      </c>
      <c r="K52" s="325">
        <f t="shared" si="63"/>
        <v>0</v>
      </c>
      <c r="L52" s="325">
        <f t="shared" si="63"/>
        <v>0</v>
      </c>
      <c r="M52" s="325">
        <f t="shared" si="63"/>
        <v>0</v>
      </c>
      <c r="N52" s="324">
        <f t="shared" si="14"/>
        <v>0</v>
      </c>
      <c r="O52" s="324">
        <f t="shared" si="15"/>
        <v>0</v>
      </c>
      <c r="P52" s="324">
        <f t="shared" si="16"/>
        <v>5034.2039999999997</v>
      </c>
      <c r="Q52" s="324">
        <f t="shared" si="17"/>
        <v>0</v>
      </c>
      <c r="R52" s="324">
        <f t="shared" si="18"/>
        <v>5034.2039999999997</v>
      </c>
      <c r="S52" s="324">
        <f t="shared" si="19"/>
        <v>0</v>
      </c>
      <c r="T52" s="324">
        <f t="shared" si="20"/>
        <v>0</v>
      </c>
      <c r="U52" s="324">
        <f t="shared" si="21"/>
        <v>0</v>
      </c>
      <c r="V52" s="324">
        <f t="shared" si="22"/>
        <v>0</v>
      </c>
      <c r="W52" s="324">
        <f t="shared" si="23"/>
        <v>0</v>
      </c>
      <c r="X52" s="324">
        <f t="shared" si="24"/>
        <v>0</v>
      </c>
      <c r="Y52" s="324">
        <f t="shared" si="25"/>
        <v>0</v>
      </c>
      <c r="Z52" s="324">
        <f t="shared" si="26"/>
        <v>0</v>
      </c>
      <c r="AA52" s="324">
        <f t="shared" si="27"/>
        <v>0</v>
      </c>
      <c r="AB52" s="324">
        <f t="shared" si="28"/>
        <v>5034.2039999999997</v>
      </c>
      <c r="AC52" s="324">
        <f t="shared" si="29"/>
        <v>0</v>
      </c>
      <c r="AD52" s="324">
        <f t="shared" si="30"/>
        <v>5034.2039999999997</v>
      </c>
      <c r="AE52" s="324">
        <f t="shared" si="31"/>
        <v>0</v>
      </c>
      <c r="AF52" s="324">
        <f t="shared" si="32"/>
        <v>0</v>
      </c>
      <c r="AG52" s="324">
        <f t="shared" si="33"/>
        <v>0</v>
      </c>
      <c r="AH52" s="324">
        <f t="shared" si="34"/>
        <v>0</v>
      </c>
      <c r="AI52" s="324">
        <f t="shared" si="35"/>
        <v>0</v>
      </c>
      <c r="AJ52" s="324">
        <f t="shared" si="36"/>
        <v>0</v>
      </c>
      <c r="AK52" s="324">
        <f t="shared" si="37"/>
        <v>0</v>
      </c>
      <c r="AL52" s="324">
        <f t="shared" si="38"/>
        <v>0</v>
      </c>
      <c r="AM52" s="324">
        <f t="shared" si="39"/>
        <v>0</v>
      </c>
      <c r="AN52" s="324">
        <f t="shared" si="40"/>
        <v>5034.2039999999997</v>
      </c>
      <c r="AO52" s="324">
        <f t="shared" si="41"/>
        <v>0</v>
      </c>
      <c r="AP52" s="324">
        <f t="shared" si="42"/>
        <v>5034.2039999999997</v>
      </c>
      <c r="AQ52" s="324">
        <f t="shared" si="43"/>
        <v>0</v>
      </c>
      <c r="AR52" s="324">
        <f t="shared" si="44"/>
        <v>0</v>
      </c>
      <c r="AS52" s="324">
        <f t="shared" si="45"/>
        <v>0</v>
      </c>
      <c r="AT52" s="324">
        <f t="shared" si="46"/>
        <v>0</v>
      </c>
      <c r="AU52" s="324">
        <f t="shared" si="47"/>
        <v>0</v>
      </c>
      <c r="AV52" s="324">
        <f t="shared" si="48"/>
        <v>0</v>
      </c>
      <c r="AW52" s="324">
        <f t="shared" si="49"/>
        <v>0</v>
      </c>
      <c r="AX52" s="324">
        <f t="shared" si="50"/>
        <v>0</v>
      </c>
      <c r="AY52" s="324">
        <f t="shared" si="51"/>
        <v>0</v>
      </c>
      <c r="AZ52" s="324">
        <f t="shared" si="52"/>
        <v>5034.2039999999997</v>
      </c>
      <c r="BA52" s="324">
        <f t="shared" si="53"/>
        <v>0</v>
      </c>
      <c r="BB52" s="324">
        <f t="shared" si="54"/>
        <v>5034.2039999999997</v>
      </c>
      <c r="BC52" s="324">
        <f t="shared" si="55"/>
        <v>0</v>
      </c>
      <c r="BD52" s="324">
        <f t="shared" si="56"/>
        <v>0</v>
      </c>
      <c r="BE52" s="324">
        <f t="shared" si="57"/>
        <v>0</v>
      </c>
      <c r="BF52" s="324">
        <f t="shared" si="58"/>
        <v>0</v>
      </c>
      <c r="BG52" s="324">
        <f t="shared" si="59"/>
        <v>0</v>
      </c>
      <c r="BH52" s="324">
        <f t="shared" si="60"/>
        <v>0</v>
      </c>
      <c r="BI52" s="324">
        <f t="shared" si="61"/>
        <v>0</v>
      </c>
    </row>
    <row r="53" spans="1:86" ht="15" customHeight="1" x14ac:dyDescent="0.35">
      <c r="A53" t="s">
        <v>266</v>
      </c>
      <c r="B53" s="324">
        <f>C23</f>
        <v>0</v>
      </c>
      <c r="C53" s="324">
        <f>D23</f>
        <v>0</v>
      </c>
      <c r="D53" s="324">
        <f>E23</f>
        <v>0</v>
      </c>
      <c r="E53" s="324">
        <f>20142</f>
        <v>20142</v>
      </c>
      <c r="F53" s="324">
        <f t="shared" ref="F53:M53" si="64">G23</f>
        <v>0</v>
      </c>
      <c r="G53" s="324">
        <f t="shared" si="64"/>
        <v>13669</v>
      </c>
      <c r="H53" s="324">
        <f t="shared" si="64"/>
        <v>0</v>
      </c>
      <c r="I53" s="324">
        <f t="shared" si="64"/>
        <v>0</v>
      </c>
      <c r="J53" s="324">
        <f t="shared" si="64"/>
        <v>0</v>
      </c>
      <c r="K53" s="324">
        <f t="shared" si="64"/>
        <v>0</v>
      </c>
      <c r="L53" s="324">
        <f t="shared" si="64"/>
        <v>0</v>
      </c>
      <c r="M53" s="324">
        <f t="shared" si="64"/>
        <v>0</v>
      </c>
      <c r="N53" s="324">
        <f>B53</f>
        <v>0</v>
      </c>
      <c r="O53" s="324">
        <f t="shared" si="15"/>
        <v>0</v>
      </c>
      <c r="P53" s="324">
        <f t="shared" si="16"/>
        <v>0</v>
      </c>
      <c r="Q53" s="324">
        <f>G53</f>
        <v>13669</v>
      </c>
      <c r="R53" s="324">
        <f t="shared" si="18"/>
        <v>0</v>
      </c>
      <c r="S53" s="324">
        <f t="shared" si="19"/>
        <v>13669</v>
      </c>
      <c r="T53" s="324">
        <f t="shared" si="20"/>
        <v>0</v>
      </c>
      <c r="U53" s="324">
        <f t="shared" si="21"/>
        <v>0</v>
      </c>
      <c r="V53" s="324">
        <f t="shared" si="22"/>
        <v>0</v>
      </c>
      <c r="W53" s="324">
        <f t="shared" si="23"/>
        <v>0</v>
      </c>
      <c r="X53" s="324">
        <f t="shared" si="24"/>
        <v>0</v>
      </c>
      <c r="Y53" s="324">
        <f t="shared" si="25"/>
        <v>0</v>
      </c>
      <c r="Z53" s="324">
        <f>N53</f>
        <v>0</v>
      </c>
      <c r="AA53" s="324">
        <f t="shared" si="27"/>
        <v>0</v>
      </c>
      <c r="AB53" s="324">
        <f t="shared" si="28"/>
        <v>0</v>
      </c>
      <c r="AC53" s="324">
        <f t="shared" si="29"/>
        <v>13669</v>
      </c>
      <c r="AD53" s="324">
        <f t="shared" si="30"/>
        <v>0</v>
      </c>
      <c r="AE53" s="324">
        <f t="shared" si="31"/>
        <v>13669</v>
      </c>
      <c r="AF53" s="324">
        <f t="shared" si="32"/>
        <v>0</v>
      </c>
      <c r="AG53" s="324">
        <f t="shared" si="33"/>
        <v>0</v>
      </c>
      <c r="AH53" s="324">
        <f t="shared" si="34"/>
        <v>0</v>
      </c>
      <c r="AI53" s="324">
        <f t="shared" si="35"/>
        <v>0</v>
      </c>
      <c r="AJ53" s="324">
        <f t="shared" si="36"/>
        <v>0</v>
      </c>
      <c r="AK53" s="324">
        <f t="shared" si="37"/>
        <v>0</v>
      </c>
      <c r="AL53" s="324">
        <f>Z53</f>
        <v>0</v>
      </c>
      <c r="AM53" s="324">
        <f t="shared" si="39"/>
        <v>0</v>
      </c>
      <c r="AN53" s="324">
        <f t="shared" si="40"/>
        <v>0</v>
      </c>
      <c r="AO53" s="324">
        <f t="shared" si="41"/>
        <v>13669</v>
      </c>
      <c r="AP53" s="324">
        <f t="shared" si="42"/>
        <v>0</v>
      </c>
      <c r="AQ53" s="324">
        <f t="shared" si="43"/>
        <v>13669</v>
      </c>
      <c r="AR53" s="324">
        <f t="shared" si="44"/>
        <v>0</v>
      </c>
      <c r="AS53" s="324">
        <f t="shared" si="45"/>
        <v>0</v>
      </c>
      <c r="AT53" s="324">
        <f t="shared" si="46"/>
        <v>0</v>
      </c>
      <c r="AU53" s="324">
        <f t="shared" si="47"/>
        <v>0</v>
      </c>
      <c r="AV53" s="324">
        <f t="shared" si="48"/>
        <v>0</v>
      </c>
      <c r="AW53" s="324">
        <f t="shared" si="49"/>
        <v>0</v>
      </c>
      <c r="AX53" s="324">
        <f>AL53</f>
        <v>0</v>
      </c>
      <c r="AY53" s="324">
        <f t="shared" si="51"/>
        <v>0</v>
      </c>
      <c r="AZ53" s="324">
        <f t="shared" si="52"/>
        <v>0</v>
      </c>
      <c r="BA53" s="324">
        <f t="shared" si="53"/>
        <v>13669</v>
      </c>
      <c r="BB53" s="324">
        <f t="shared" si="54"/>
        <v>0</v>
      </c>
      <c r="BC53" s="324">
        <f t="shared" si="55"/>
        <v>13669</v>
      </c>
      <c r="BD53" s="324">
        <f t="shared" si="56"/>
        <v>0</v>
      </c>
      <c r="BE53" s="324">
        <f t="shared" si="57"/>
        <v>0</v>
      </c>
      <c r="BF53" s="324">
        <f t="shared" si="58"/>
        <v>0</v>
      </c>
      <c r="BG53" s="324">
        <f t="shared" si="59"/>
        <v>0</v>
      </c>
      <c r="BH53" s="324">
        <f t="shared" si="60"/>
        <v>0</v>
      </c>
      <c r="BI53" s="324">
        <f t="shared" si="61"/>
        <v>0</v>
      </c>
    </row>
    <row r="54" spans="1:86" s="279" customFormat="1" ht="15" customHeight="1" x14ac:dyDescent="0.35">
      <c r="A54" s="279" t="s">
        <v>462</v>
      </c>
      <c r="B54" s="327">
        <f>B64*'Marges Produits'!$E$49</f>
        <v>20975.85</v>
      </c>
      <c r="C54" s="328">
        <f>C64*'Marges Produits'!$E$49</f>
        <v>26219.8125</v>
      </c>
      <c r="D54" s="328">
        <f>D64*'Marges Produits'!$E$49</f>
        <v>31463.775000000001</v>
      </c>
      <c r="E54" s="328">
        <f>E64*'Marges Produits'!$E$49</f>
        <v>36707.737500000003</v>
      </c>
      <c r="F54" s="328">
        <f>F64*'Marges Produits'!$E$49</f>
        <v>52439.625</v>
      </c>
      <c r="G54" s="328">
        <f>G64*'Marges Produits'!$E$49</f>
        <v>38805.322500000002</v>
      </c>
      <c r="H54" s="328">
        <f>H64*'Marges Produits'!$E$49</f>
        <v>36707.737500000003</v>
      </c>
      <c r="I54" s="328">
        <f>I64*'Marges Produits'!$E$49</f>
        <v>31463.775000000001</v>
      </c>
      <c r="J54" s="328">
        <f>J64*'Marges Produits'!$E$49</f>
        <v>26219.8125</v>
      </c>
      <c r="K54" s="328">
        <f>K64*'Marges Produits'!$E$49</f>
        <v>15731.887500000001</v>
      </c>
      <c r="L54" s="328">
        <f>L64*'Marges Produits'!$E$49</f>
        <v>0</v>
      </c>
      <c r="M54" s="329">
        <f>M64*'Marges Produits'!$E$49</f>
        <v>0</v>
      </c>
      <c r="N54" s="327">
        <f>N64*'Marges Produits'!$E$49</f>
        <v>41951.7</v>
      </c>
      <c r="O54" s="328">
        <f>O64*'Marges Produits'!$E$49</f>
        <v>52439.625</v>
      </c>
      <c r="P54" s="328">
        <f>P64*'Marges Produits'!$E$49</f>
        <v>78659.4375</v>
      </c>
      <c r="Q54" s="328">
        <f>Q64*'Marges Produits'!$E$49</f>
        <v>94391.324999999997</v>
      </c>
      <c r="R54" s="328">
        <f>R64*'Marges Produits'!$E$49</f>
        <v>104879.25</v>
      </c>
      <c r="S54" s="328">
        <f>S64*'Marges Produits'!$E$49</f>
        <v>104879.25</v>
      </c>
      <c r="T54" s="328">
        <f>T64*'Marges Produits'!$E$49</f>
        <v>73415.475000000006</v>
      </c>
      <c r="U54" s="328">
        <f>U64*'Marges Produits'!$E$49</f>
        <v>62927.55</v>
      </c>
      <c r="V54" s="328">
        <f>V64*'Marges Produits'!$E$49</f>
        <v>52439.625</v>
      </c>
      <c r="W54" s="328">
        <f>W64*'Marges Produits'!$E$49</f>
        <v>31463.775000000001</v>
      </c>
      <c r="X54" s="328">
        <f>X64*'Marges Produits'!$E$49</f>
        <v>0</v>
      </c>
      <c r="Y54" s="329">
        <f>Y64*'Marges Produits'!$E$49</f>
        <v>0</v>
      </c>
      <c r="Z54" s="327">
        <f>Z64*'Marges Produits'!$E$49</f>
        <v>54537.21</v>
      </c>
      <c r="AA54" s="328">
        <f>AA64*'Marges Produits'!$E$49</f>
        <v>68171.512499999997</v>
      </c>
      <c r="AB54" s="328">
        <f>AB64*'Marges Produits'!$E$49</f>
        <v>102781.66500000001</v>
      </c>
      <c r="AC54" s="328">
        <f>AC64*'Marges Produits'!$E$49</f>
        <v>122708.7225</v>
      </c>
      <c r="AD54" s="328">
        <f>AD64*'Marges Produits'!$E$49</f>
        <v>136343.02499999999</v>
      </c>
      <c r="AE54" s="328">
        <f>AE64*'Marges Produits'!$E$49</f>
        <v>136343.02499999999</v>
      </c>
      <c r="AF54" s="328">
        <f>AF64*'Marges Produits'!$E$49</f>
        <v>95440.117500000008</v>
      </c>
      <c r="AG54" s="328">
        <f>AG64*'Marges Produits'!$E$49</f>
        <v>81805.815000000002</v>
      </c>
      <c r="AH54" s="328">
        <f>AH64*'Marges Produits'!$E$49</f>
        <v>68171.512499999997</v>
      </c>
      <c r="AI54" s="328">
        <f>AI64*'Marges Produits'!$E$49</f>
        <v>40902.907500000001</v>
      </c>
      <c r="AJ54" s="328">
        <f>AJ64*'Marges Produits'!$E$49</f>
        <v>0</v>
      </c>
      <c r="AK54" s="329">
        <f>AK64*'Marges Produits'!$E$49</f>
        <v>0</v>
      </c>
      <c r="AL54" s="327">
        <f>AL64*'Marges Produits'!$E$49</f>
        <v>66073.927500000005</v>
      </c>
      <c r="AM54" s="328">
        <f>AM64*'Marges Produits'!$E$49</f>
        <v>82854.607499999998</v>
      </c>
      <c r="AN54" s="328">
        <f>AN64*'Marges Produits'!$E$49</f>
        <v>124806.3075</v>
      </c>
      <c r="AO54" s="328">
        <f>AO64*'Marges Produits'!$E$49</f>
        <v>148928.535</v>
      </c>
      <c r="AP54" s="328">
        <f>AP64*'Marges Produits'!$E$49</f>
        <v>164660.42250000002</v>
      </c>
      <c r="AQ54" s="328">
        <f>AQ64*'Marges Produits'!$E$49</f>
        <v>164660.42250000002</v>
      </c>
      <c r="AR54" s="328">
        <f>AR64*'Marges Produits'!$E$49</f>
        <v>115367.175</v>
      </c>
      <c r="AS54" s="328">
        <f>AS64*'Marges Produits'!$E$49</f>
        <v>98586.494999999995</v>
      </c>
      <c r="AT54" s="328">
        <f>AT64*'Marges Produits'!$E$49</f>
        <v>82854.607499999998</v>
      </c>
      <c r="AU54" s="328">
        <f>AU64*'Marges Produits'!$E$49</f>
        <v>49293.247499999998</v>
      </c>
      <c r="AV54" s="328">
        <f>AV64*'Marges Produits'!$E$49</f>
        <v>0</v>
      </c>
      <c r="AW54" s="329">
        <f>AW64*'Marges Produits'!$E$49</f>
        <v>0</v>
      </c>
      <c r="AX54" s="327">
        <f>AX64*'Marges Produits'!$E$49</f>
        <v>52439.625</v>
      </c>
      <c r="AY54" s="328">
        <f>AY64*'Marges Produits'!$E$49</f>
        <v>104879.25</v>
      </c>
      <c r="AZ54" s="328">
        <f>AZ64*'Marges Produits'!$E$49</f>
        <v>104879.25</v>
      </c>
      <c r="BA54" s="328">
        <f>BA64*'Marges Produits'!$E$49</f>
        <v>136343.02499999999</v>
      </c>
      <c r="BB54" s="328">
        <f>BB64*'Marges Produits'!$E$49</f>
        <v>157318.875</v>
      </c>
      <c r="BC54" s="328">
        <f>BC64*'Marges Produits'!$E$49</f>
        <v>157318.875</v>
      </c>
      <c r="BD54" s="328">
        <f>BD64*'Marges Produits'!$E$49</f>
        <v>131099.0625</v>
      </c>
      <c r="BE54" s="328">
        <f>BE64*'Marges Produits'!$E$49</f>
        <v>111172.005</v>
      </c>
      <c r="BF54" s="328">
        <f>BF64*'Marges Produits'!$E$49</f>
        <v>98586.494999999995</v>
      </c>
      <c r="BG54" s="328">
        <f>BG64*'Marges Produits'!$E$49</f>
        <v>0</v>
      </c>
      <c r="BH54" s="328">
        <f>BH64*'Marges Produits'!$E$49</f>
        <v>0</v>
      </c>
      <c r="BI54" s="329">
        <f>BI64*'Marges Produits'!$E$49</f>
        <v>0</v>
      </c>
      <c r="BJ54"/>
      <c r="BK54"/>
      <c r="BL54"/>
      <c r="BM54"/>
      <c r="BN54"/>
      <c r="BO54"/>
      <c r="BP54"/>
      <c r="BQ54"/>
      <c r="BR54"/>
      <c r="BS54"/>
      <c r="BT54"/>
      <c r="BU54"/>
      <c r="BV54"/>
      <c r="BW54"/>
      <c r="BX54"/>
      <c r="BY54"/>
      <c r="BZ54"/>
      <c r="CA54"/>
      <c r="CB54"/>
      <c r="CC54"/>
      <c r="CD54"/>
      <c r="CE54"/>
      <c r="CF54"/>
      <c r="CG54"/>
      <c r="CH54"/>
    </row>
    <row r="55" spans="1:86" ht="14.25" customHeight="1" x14ac:dyDescent="0.35">
      <c r="A55" t="s">
        <v>267</v>
      </c>
      <c r="B55" s="324">
        <f>'Emprunt Bancaire'!$B$27</f>
        <v>4367</v>
      </c>
      <c r="C55" s="325">
        <f>'Emprunt Bancaire'!$B$27</f>
        <v>4367</v>
      </c>
      <c r="D55" s="325">
        <f>'Emprunt Bancaire'!$B$27</f>
        <v>4367</v>
      </c>
      <c r="E55" s="325">
        <f>'Emprunt Bancaire'!$B$27</f>
        <v>4367</v>
      </c>
      <c r="F55" s="325">
        <f>'Emprunt Bancaire'!$B$27</f>
        <v>4367</v>
      </c>
      <c r="G55" s="325">
        <f>'Emprunt Bancaire'!$B$27</f>
        <v>4367</v>
      </c>
      <c r="H55" s="325">
        <f>'Emprunt Bancaire'!$B$27</f>
        <v>4367</v>
      </c>
      <c r="I55" s="325">
        <f>'Emprunt Bancaire'!$B$27</f>
        <v>4367</v>
      </c>
      <c r="J55" s="325">
        <f>'Emprunt Bancaire'!$B$27</f>
        <v>4367</v>
      </c>
      <c r="K55" s="325">
        <f>'Emprunt Bancaire'!$B$27</f>
        <v>4367</v>
      </c>
      <c r="L55" s="325">
        <f>'Emprunt Bancaire'!$B$27</f>
        <v>4367</v>
      </c>
      <c r="M55" s="326">
        <f>'Emprunt Bancaire'!$B$27</f>
        <v>4367</v>
      </c>
      <c r="N55" s="324">
        <f>'Emprunt Bancaire'!$B$27</f>
        <v>4367</v>
      </c>
      <c r="O55" s="325">
        <f>'Emprunt Bancaire'!$B$27</f>
        <v>4367</v>
      </c>
      <c r="P55" s="325">
        <f>'Emprunt Bancaire'!$B$27</f>
        <v>4367</v>
      </c>
      <c r="Q55" s="325">
        <f>'Emprunt Bancaire'!$B$27</f>
        <v>4367</v>
      </c>
      <c r="R55" s="325">
        <f>'Emprunt Bancaire'!$B$27</f>
        <v>4367</v>
      </c>
      <c r="S55" s="325">
        <f>'Emprunt Bancaire'!$B$27</f>
        <v>4367</v>
      </c>
      <c r="T55" s="325">
        <f>'Emprunt Bancaire'!$B$27</f>
        <v>4367</v>
      </c>
      <c r="U55" s="325">
        <f>'Emprunt Bancaire'!$B$27</f>
        <v>4367</v>
      </c>
      <c r="V55" s="325">
        <f>'Emprunt Bancaire'!$B$27</f>
        <v>4367</v>
      </c>
      <c r="W55" s="325">
        <f>'Emprunt Bancaire'!$B$27</f>
        <v>4367</v>
      </c>
      <c r="X55" s="325">
        <f>'Emprunt Bancaire'!$B$27</f>
        <v>4367</v>
      </c>
      <c r="Y55" s="326">
        <f>'Emprunt Bancaire'!$B$27</f>
        <v>4367</v>
      </c>
      <c r="Z55" s="324">
        <f>'Emprunt Bancaire'!$B$27</f>
        <v>4367</v>
      </c>
      <c r="AA55" s="325">
        <f>'Emprunt Bancaire'!$B$27</f>
        <v>4367</v>
      </c>
      <c r="AB55" s="325">
        <f>'Emprunt Bancaire'!$B$27</f>
        <v>4367</v>
      </c>
      <c r="AC55" s="325">
        <f>'Emprunt Bancaire'!$B$27</f>
        <v>4367</v>
      </c>
      <c r="AD55" s="325">
        <f>'Emprunt Bancaire'!$B$27</f>
        <v>4367</v>
      </c>
      <c r="AE55" s="325">
        <f>'Emprunt Bancaire'!$B$27</f>
        <v>4367</v>
      </c>
      <c r="AF55" s="325">
        <f>'Emprunt Bancaire'!$B$27</f>
        <v>4367</v>
      </c>
      <c r="AG55" s="325">
        <f>'Emprunt Bancaire'!$B$27</f>
        <v>4367</v>
      </c>
      <c r="AH55" s="325">
        <f>'Emprunt Bancaire'!$B$27</f>
        <v>4367</v>
      </c>
      <c r="AI55" s="325">
        <f>'Emprunt Bancaire'!$B$27</f>
        <v>4367</v>
      </c>
      <c r="AJ55" s="325">
        <f>'Emprunt Bancaire'!$B$27</f>
        <v>4367</v>
      </c>
      <c r="AK55" s="326">
        <f>'Emprunt Bancaire'!$B$27</f>
        <v>4367</v>
      </c>
      <c r="AL55" s="324">
        <f>'Emprunt Bancaire'!$B$27</f>
        <v>4367</v>
      </c>
      <c r="AM55" s="325">
        <f>'Emprunt Bancaire'!$B$27</f>
        <v>4367</v>
      </c>
      <c r="AN55" s="325">
        <f>'Emprunt Bancaire'!$B$27</f>
        <v>4367</v>
      </c>
      <c r="AO55" s="325">
        <f>'Emprunt Bancaire'!$B$27</f>
        <v>4367</v>
      </c>
      <c r="AP55" s="325">
        <f>'Emprunt Bancaire'!$B$27</f>
        <v>4367</v>
      </c>
      <c r="AQ55" s="325"/>
      <c r="AR55" s="325"/>
      <c r="AS55" s="325"/>
      <c r="AT55" s="325"/>
      <c r="AU55" s="325"/>
      <c r="AV55" s="325"/>
      <c r="AW55" s="326"/>
      <c r="AX55" s="324"/>
      <c r="AY55" s="325"/>
      <c r="AZ55" s="325"/>
      <c r="BA55" s="325"/>
      <c r="BB55" s="325"/>
      <c r="BC55" s="325"/>
      <c r="BD55" s="325"/>
      <c r="BE55" s="325"/>
      <c r="BF55" s="325"/>
      <c r="BG55" s="325"/>
      <c r="BH55" s="325"/>
      <c r="BI55" s="326"/>
    </row>
    <row r="56" spans="1:86" ht="15" customHeight="1" x14ac:dyDescent="0.35">
      <c r="A56" t="s">
        <v>268</v>
      </c>
      <c r="B56" s="324">
        <f t="shared" ref="B56:AG56" si="65">B43*0.008</f>
        <v>102.88333333333334</v>
      </c>
      <c r="C56" s="325">
        <f t="shared" si="65"/>
        <v>205.76666666666668</v>
      </c>
      <c r="D56" s="325">
        <f t="shared" si="65"/>
        <v>308.65000000000003</v>
      </c>
      <c r="E56" s="325">
        <f t="shared" si="65"/>
        <v>514.41666666666674</v>
      </c>
      <c r="F56" s="325">
        <f t="shared" si="65"/>
        <v>720.18333333333339</v>
      </c>
      <c r="G56" s="325">
        <f t="shared" si="65"/>
        <v>720.18333333333339</v>
      </c>
      <c r="H56" s="325">
        <f t="shared" si="65"/>
        <v>720.18333333333339</v>
      </c>
      <c r="I56" s="325">
        <f t="shared" si="65"/>
        <v>617.30000000000007</v>
      </c>
      <c r="J56" s="325">
        <f t="shared" si="65"/>
        <v>514.41666666666674</v>
      </c>
      <c r="K56" s="325">
        <f t="shared" si="65"/>
        <v>308.65000000000003</v>
      </c>
      <c r="L56" s="325">
        <f t="shared" si="65"/>
        <v>205.76666666666668</v>
      </c>
      <c r="M56" s="326">
        <f t="shared" si="65"/>
        <v>205.76666666666668</v>
      </c>
      <c r="N56" s="324">
        <f t="shared" si="65"/>
        <v>308.65000000000003</v>
      </c>
      <c r="O56" s="325">
        <f t="shared" si="65"/>
        <v>617.30000000000007</v>
      </c>
      <c r="P56" s="325">
        <f t="shared" si="65"/>
        <v>1028.8333333333335</v>
      </c>
      <c r="Q56" s="325">
        <f t="shared" si="65"/>
        <v>1234.6000000000001</v>
      </c>
      <c r="R56" s="325">
        <f t="shared" si="65"/>
        <v>1440.3666666666668</v>
      </c>
      <c r="S56" s="325">
        <f t="shared" si="65"/>
        <v>1440.3666666666668</v>
      </c>
      <c r="T56" s="325">
        <f t="shared" si="65"/>
        <v>1440.3666666666668</v>
      </c>
      <c r="U56" s="325">
        <f t="shared" si="65"/>
        <v>1337.4833333333336</v>
      </c>
      <c r="V56" s="325">
        <f t="shared" si="65"/>
        <v>1028.8333333333335</v>
      </c>
      <c r="W56" s="325">
        <f t="shared" si="65"/>
        <v>617.30000000000007</v>
      </c>
      <c r="X56" s="325">
        <f t="shared" si="65"/>
        <v>411.53333333333336</v>
      </c>
      <c r="Y56" s="326">
        <f t="shared" si="65"/>
        <v>411.53333333333336</v>
      </c>
      <c r="Z56" s="324">
        <f t="shared" si="65"/>
        <v>823.06666666666672</v>
      </c>
      <c r="AA56" s="325">
        <f t="shared" si="65"/>
        <v>925.95</v>
      </c>
      <c r="AB56" s="325">
        <f t="shared" si="65"/>
        <v>1337.4833333333336</v>
      </c>
      <c r="AC56" s="325">
        <f t="shared" si="65"/>
        <v>1749.0166666666669</v>
      </c>
      <c r="AD56" s="325">
        <f t="shared" si="65"/>
        <v>2057.666666666667</v>
      </c>
      <c r="AE56" s="325">
        <f t="shared" si="65"/>
        <v>2057.666666666667</v>
      </c>
      <c r="AF56" s="325">
        <f t="shared" si="65"/>
        <v>2057.666666666667</v>
      </c>
      <c r="AG56" s="325">
        <f t="shared" si="65"/>
        <v>1749.0166666666669</v>
      </c>
      <c r="AH56" s="325">
        <f t="shared" ref="AH56:BI56" si="66">AH43*0.008</f>
        <v>1543.25</v>
      </c>
      <c r="AI56" s="325">
        <f t="shared" si="66"/>
        <v>925.95</v>
      </c>
      <c r="AJ56" s="325">
        <f t="shared" si="66"/>
        <v>617.30000000000007</v>
      </c>
      <c r="AK56" s="326">
        <f t="shared" si="66"/>
        <v>617.30000000000007</v>
      </c>
      <c r="AL56" s="324">
        <f t="shared" si="66"/>
        <v>1028.8333333333335</v>
      </c>
      <c r="AM56" s="325">
        <f t="shared" si="66"/>
        <v>1152.2933333333335</v>
      </c>
      <c r="AN56" s="325">
        <f t="shared" si="66"/>
        <v>1666.71</v>
      </c>
      <c r="AO56" s="325">
        <f t="shared" si="66"/>
        <v>2181.126666666667</v>
      </c>
      <c r="AP56" s="325">
        <f t="shared" si="66"/>
        <v>2572.0833333333335</v>
      </c>
      <c r="AQ56" s="325">
        <f t="shared" si="66"/>
        <v>2572.0833333333335</v>
      </c>
      <c r="AR56" s="325">
        <f t="shared" si="66"/>
        <v>2572.0833333333335</v>
      </c>
      <c r="AS56" s="325">
        <f t="shared" si="66"/>
        <v>2181.126666666667</v>
      </c>
      <c r="AT56" s="325">
        <f t="shared" si="66"/>
        <v>1934.2066666666667</v>
      </c>
      <c r="AU56" s="325">
        <f t="shared" si="66"/>
        <v>1152.2933333333335</v>
      </c>
      <c r="AV56" s="325">
        <f t="shared" si="66"/>
        <v>781.91333333333341</v>
      </c>
      <c r="AW56" s="326">
        <f t="shared" si="66"/>
        <v>781.91333333333341</v>
      </c>
      <c r="AX56" s="324">
        <f t="shared" si="66"/>
        <v>1080.2750000000003</v>
      </c>
      <c r="AY56" s="325">
        <f t="shared" si="66"/>
        <v>1209.9080000000004</v>
      </c>
      <c r="AZ56" s="325">
        <f t="shared" si="66"/>
        <v>1750.0455000000002</v>
      </c>
      <c r="BA56" s="325">
        <f t="shared" si="66"/>
        <v>2290.1830000000004</v>
      </c>
      <c r="BB56" s="325">
        <f t="shared" si="66"/>
        <v>2700.6875000000005</v>
      </c>
      <c r="BC56" s="325">
        <f t="shared" si="66"/>
        <v>2700.6875000000005</v>
      </c>
      <c r="BD56" s="325">
        <f t="shared" si="66"/>
        <v>2700.6875000000005</v>
      </c>
      <c r="BE56" s="325">
        <f t="shared" si="66"/>
        <v>2290.1830000000004</v>
      </c>
      <c r="BF56" s="325">
        <f t="shared" si="66"/>
        <v>2030.9170000000004</v>
      </c>
      <c r="BG56" s="325">
        <f t="shared" si="66"/>
        <v>1209.9080000000004</v>
      </c>
      <c r="BH56" s="325">
        <f t="shared" si="66"/>
        <v>821.00900000000013</v>
      </c>
      <c r="BI56" s="326">
        <f t="shared" si="66"/>
        <v>821.00900000000013</v>
      </c>
    </row>
    <row r="57" spans="1:86" ht="14.25" customHeight="1" x14ac:dyDescent="0.35">
      <c r="A57" t="s">
        <v>269</v>
      </c>
      <c r="B57" s="324">
        <f t="shared" ref="B57:AG57" si="67">(SUM(B47:B56)*0.15)</f>
        <v>7564.1702999999989</v>
      </c>
      <c r="C57" s="325">
        <f t="shared" si="67"/>
        <v>6544.2971750000006</v>
      </c>
      <c r="D57" s="325">
        <f t="shared" si="67"/>
        <v>8700.8546499999993</v>
      </c>
      <c r="E57" s="325">
        <f t="shared" si="67"/>
        <v>10949.583425000003</v>
      </c>
      <c r="F57" s="325">
        <f t="shared" si="67"/>
        <v>11608.962149999998</v>
      </c>
      <c r="G57" s="325">
        <f t="shared" si="67"/>
        <v>10174.136175</v>
      </c>
      <c r="H57" s="325">
        <f t="shared" si="67"/>
        <v>8869.0484250000009</v>
      </c>
      <c r="I57" s="325">
        <f t="shared" si="67"/>
        <v>6857.1215500000008</v>
      </c>
      <c r="J57" s="325">
        <f t="shared" si="67"/>
        <v>6889.994674999999</v>
      </c>
      <c r="K57" s="325">
        <f t="shared" si="67"/>
        <v>4751.0409250000002</v>
      </c>
      <c r="L57" s="325">
        <f t="shared" si="67"/>
        <v>2910.7252999999996</v>
      </c>
      <c r="M57" s="326">
        <f t="shared" si="67"/>
        <v>2233.3253</v>
      </c>
      <c r="N57" s="324">
        <f t="shared" si="67"/>
        <v>10741.4128</v>
      </c>
      <c r="O57" s="325">
        <f t="shared" si="67"/>
        <v>10538.999049999999</v>
      </c>
      <c r="P57" s="325">
        <f t="shared" si="67"/>
        <v>15888.231524999997</v>
      </c>
      <c r="Q57" s="325">
        <f t="shared" si="67"/>
        <v>18739.199049999999</v>
      </c>
      <c r="R57" s="325">
        <f t="shared" si="67"/>
        <v>19582.933399999998</v>
      </c>
      <c r="S57" s="325">
        <f t="shared" si="67"/>
        <v>20193.252799999998</v>
      </c>
      <c r="T57" s="325">
        <f t="shared" si="67"/>
        <v>14483.23655</v>
      </c>
      <c r="U57" s="325">
        <f t="shared" si="67"/>
        <v>11684.715300000002</v>
      </c>
      <c r="V57" s="325">
        <f t="shared" si="67"/>
        <v>10900.129049999998</v>
      </c>
      <c r="W57" s="325">
        <f t="shared" si="67"/>
        <v>7157.1215500000008</v>
      </c>
      <c r="X57" s="325">
        <f t="shared" si="67"/>
        <v>2941.5902999999998</v>
      </c>
      <c r="Y57" s="326">
        <f t="shared" si="67"/>
        <v>2264.1902999999998</v>
      </c>
      <c r="Z57" s="324">
        <f t="shared" si="67"/>
        <v>14412.701799999999</v>
      </c>
      <c r="AA57" s="325">
        <f t="shared" si="67"/>
        <v>14651.379674999998</v>
      </c>
      <c r="AB57" s="325">
        <f t="shared" si="67"/>
        <v>21259.16315</v>
      </c>
      <c r="AC57" s="325">
        <f t="shared" si="67"/>
        <v>24770.271174999998</v>
      </c>
      <c r="AD57" s="325">
        <f t="shared" si="67"/>
        <v>26101.394649999998</v>
      </c>
      <c r="AE57" s="325">
        <f t="shared" si="67"/>
        <v>26711.714049999999</v>
      </c>
      <c r="AF57" s="325">
        <f t="shared" si="67"/>
        <v>19585.827925000001</v>
      </c>
      <c r="AG57" s="325">
        <f t="shared" si="67"/>
        <v>16284.485049999999</v>
      </c>
      <c r="AH57" s="325">
        <f t="shared" ref="AH57:BI57" si="68">(SUM(AH47:AH56)*0.15)</f>
        <v>15043.374674999999</v>
      </c>
      <c r="AI57" s="325">
        <f t="shared" si="68"/>
        <v>10325.588925</v>
      </c>
      <c r="AJ57" s="325">
        <f t="shared" si="68"/>
        <v>4678.7552999999998</v>
      </c>
      <c r="AK57" s="326">
        <f t="shared" si="68"/>
        <v>4001.3552999999993</v>
      </c>
      <c r="AL57" s="324">
        <f t="shared" si="68"/>
        <v>16174.074424999999</v>
      </c>
      <c r="AM57" s="325">
        <f t="shared" si="68"/>
        <v>16887.795425</v>
      </c>
      <c r="AN57" s="325">
        <f t="shared" si="68"/>
        <v>24612.243524999998</v>
      </c>
      <c r="AO57" s="325">
        <f t="shared" si="68"/>
        <v>28768.059550000002</v>
      </c>
      <c r="AP57" s="325">
        <f t="shared" si="68"/>
        <v>30426.166775000002</v>
      </c>
      <c r="AQ57" s="325">
        <f t="shared" si="68"/>
        <v>30381.436175000003</v>
      </c>
      <c r="AR57" s="325">
        <f t="shared" si="68"/>
        <v>21996.999049999999</v>
      </c>
      <c r="AS57" s="325">
        <f t="shared" si="68"/>
        <v>18211.35355</v>
      </c>
      <c r="AT57" s="325">
        <f t="shared" si="68"/>
        <v>16649.432424999999</v>
      </c>
      <c r="AU57" s="325">
        <f t="shared" si="68"/>
        <v>10963.041424999999</v>
      </c>
      <c r="AV57" s="325">
        <f t="shared" si="68"/>
        <v>4048.3972999999996</v>
      </c>
      <c r="AW57" s="326">
        <f t="shared" si="68"/>
        <v>3370.9972999999995</v>
      </c>
      <c r="AX57" s="324">
        <f t="shared" si="68"/>
        <v>13481.595299999999</v>
      </c>
      <c r="AY57" s="325">
        <f t="shared" si="68"/>
        <v>19545.083999999999</v>
      </c>
      <c r="AZ57" s="325">
        <f t="shared" si="68"/>
        <v>20980.635225000002</v>
      </c>
      <c r="BA57" s="325">
        <f t="shared" si="68"/>
        <v>26241.541499999996</v>
      </c>
      <c r="BB57" s="325">
        <f t="shared" si="68"/>
        <v>28689.175274999998</v>
      </c>
      <c r="BC57" s="325">
        <f t="shared" si="68"/>
        <v>29299.494674999998</v>
      </c>
      <c r="BD57" s="325">
        <f t="shared" si="68"/>
        <v>24376.072799999998</v>
      </c>
      <c r="BE57" s="325">
        <f t="shared" si="68"/>
        <v>20115.538499999999</v>
      </c>
      <c r="BF57" s="325">
        <f t="shared" si="68"/>
        <v>19023.722099999999</v>
      </c>
      <c r="BG57" s="325">
        <f t="shared" si="68"/>
        <v>3577.6964999999996</v>
      </c>
      <c r="BH57" s="325">
        <f t="shared" si="68"/>
        <v>4054.2616499999999</v>
      </c>
      <c r="BI57" s="326">
        <f t="shared" si="68"/>
        <v>3376.8616499999998</v>
      </c>
    </row>
    <row r="58" spans="1:86" s="122" customFormat="1" ht="15" customHeight="1" x14ac:dyDescent="0.35">
      <c r="A58" s="335" t="s">
        <v>270</v>
      </c>
      <c r="B58" s="332">
        <f t="shared" ref="B58:AG58" si="69">SUM(B47:B57)</f>
        <v>57991.972299999994</v>
      </c>
      <c r="C58" s="333">
        <f t="shared" si="69"/>
        <v>50172.945008333336</v>
      </c>
      <c r="D58" s="333">
        <f t="shared" si="69"/>
        <v>66706.552316666668</v>
      </c>
      <c r="E58" s="333">
        <f t="shared" si="69"/>
        <v>83946.806258333352</v>
      </c>
      <c r="F58" s="333">
        <f t="shared" si="69"/>
        <v>89002.043149999983</v>
      </c>
      <c r="G58" s="333">
        <f t="shared" si="69"/>
        <v>78001.710675000009</v>
      </c>
      <c r="H58" s="333">
        <f t="shared" si="69"/>
        <v>67996.037925000011</v>
      </c>
      <c r="I58" s="333">
        <f t="shared" si="69"/>
        <v>52571.265216666674</v>
      </c>
      <c r="J58" s="333">
        <f t="shared" si="69"/>
        <v>52823.292508333332</v>
      </c>
      <c r="K58" s="333">
        <f t="shared" si="69"/>
        <v>36424.647091666666</v>
      </c>
      <c r="L58" s="333">
        <f t="shared" si="69"/>
        <v>22315.560633333331</v>
      </c>
      <c r="M58" s="334">
        <f t="shared" si="69"/>
        <v>17122.160633333333</v>
      </c>
      <c r="N58" s="332">
        <f t="shared" si="69"/>
        <v>82350.83146666667</v>
      </c>
      <c r="O58" s="333">
        <f t="shared" si="69"/>
        <v>80798.99271666666</v>
      </c>
      <c r="P58" s="333">
        <f t="shared" si="69"/>
        <v>121809.77502499998</v>
      </c>
      <c r="Q58" s="333">
        <f t="shared" si="69"/>
        <v>143667.19271666667</v>
      </c>
      <c r="R58" s="333">
        <f t="shared" si="69"/>
        <v>150135.82273333333</v>
      </c>
      <c r="S58" s="333">
        <f t="shared" si="69"/>
        <v>154814.93813333331</v>
      </c>
      <c r="T58" s="333">
        <f t="shared" si="69"/>
        <v>111038.14688333333</v>
      </c>
      <c r="U58" s="333">
        <f t="shared" si="69"/>
        <v>89582.81730000001</v>
      </c>
      <c r="V58" s="333">
        <f t="shared" si="69"/>
        <v>83567.656049999991</v>
      </c>
      <c r="W58" s="333">
        <f t="shared" si="69"/>
        <v>54871.265216666674</v>
      </c>
      <c r="X58" s="333">
        <f t="shared" si="69"/>
        <v>22552.192299999999</v>
      </c>
      <c r="Y58" s="334">
        <f t="shared" si="69"/>
        <v>17358.792299999997</v>
      </c>
      <c r="Z58" s="332">
        <f t="shared" si="69"/>
        <v>110497.38046666665</v>
      </c>
      <c r="AA58" s="333">
        <f t="shared" si="69"/>
        <v>112327.244175</v>
      </c>
      <c r="AB58" s="333">
        <f t="shared" si="69"/>
        <v>162986.91748333335</v>
      </c>
      <c r="AC58" s="333">
        <f t="shared" si="69"/>
        <v>189905.41234166667</v>
      </c>
      <c r="AD58" s="333">
        <f t="shared" si="69"/>
        <v>200110.69231666665</v>
      </c>
      <c r="AE58" s="333">
        <f t="shared" si="69"/>
        <v>204789.80771666666</v>
      </c>
      <c r="AF58" s="333">
        <f t="shared" si="69"/>
        <v>150158.01409166667</v>
      </c>
      <c r="AG58" s="333">
        <f t="shared" si="69"/>
        <v>124847.71871666667</v>
      </c>
      <c r="AH58" s="333">
        <f t="shared" ref="AH58:BI58" si="70">SUM(AH47:AH57)</f>
        <v>115332.539175</v>
      </c>
      <c r="AI58" s="333">
        <f t="shared" si="70"/>
        <v>79162.848425000004</v>
      </c>
      <c r="AJ58" s="333">
        <f t="shared" si="70"/>
        <v>35870.457299999995</v>
      </c>
      <c r="AK58" s="334">
        <f t="shared" si="70"/>
        <v>30677.057299999997</v>
      </c>
      <c r="AL58" s="332">
        <f t="shared" si="70"/>
        <v>124001.23725833333</v>
      </c>
      <c r="AM58" s="333">
        <f t="shared" si="70"/>
        <v>129473.09825833334</v>
      </c>
      <c r="AN58" s="333">
        <f t="shared" si="70"/>
        <v>188693.86702499999</v>
      </c>
      <c r="AO58" s="333">
        <f t="shared" si="70"/>
        <v>220555.12321666669</v>
      </c>
      <c r="AP58" s="333">
        <f t="shared" si="70"/>
        <v>233267.27860833335</v>
      </c>
      <c r="AQ58" s="333">
        <f t="shared" si="70"/>
        <v>232924.34400833337</v>
      </c>
      <c r="AR58" s="333">
        <f t="shared" si="70"/>
        <v>168643.65938333335</v>
      </c>
      <c r="AS58" s="333">
        <f t="shared" si="70"/>
        <v>139620.37721666665</v>
      </c>
      <c r="AT58" s="333">
        <f t="shared" si="70"/>
        <v>127645.64859166666</v>
      </c>
      <c r="AU58" s="333">
        <f t="shared" si="70"/>
        <v>84049.984258333337</v>
      </c>
      <c r="AV58" s="333">
        <f t="shared" si="70"/>
        <v>31037.712633333333</v>
      </c>
      <c r="AW58" s="334">
        <f t="shared" si="70"/>
        <v>25844.312633333331</v>
      </c>
      <c r="AX58" s="332">
        <f t="shared" si="70"/>
        <v>103358.8973</v>
      </c>
      <c r="AY58" s="333">
        <f t="shared" si="70"/>
        <v>149845.644</v>
      </c>
      <c r="AZ58" s="333">
        <f t="shared" si="70"/>
        <v>160851.53672500001</v>
      </c>
      <c r="BA58" s="333">
        <f t="shared" si="70"/>
        <v>201185.15149999998</v>
      </c>
      <c r="BB58" s="333">
        <f t="shared" si="70"/>
        <v>219950.34377499999</v>
      </c>
      <c r="BC58" s="333">
        <f t="shared" si="70"/>
        <v>224629.459175</v>
      </c>
      <c r="BD58" s="333">
        <f t="shared" si="70"/>
        <v>186883.2248</v>
      </c>
      <c r="BE58" s="333">
        <f t="shared" si="70"/>
        <v>154219.12849999999</v>
      </c>
      <c r="BF58" s="333">
        <f t="shared" si="70"/>
        <v>145848.5361</v>
      </c>
      <c r="BG58" s="333">
        <f t="shared" si="70"/>
        <v>27429.006499999996</v>
      </c>
      <c r="BH58" s="333">
        <f t="shared" si="70"/>
        <v>31082.67265</v>
      </c>
      <c r="BI58" s="334">
        <f t="shared" si="70"/>
        <v>25889.272649999999</v>
      </c>
    </row>
    <row r="59" spans="1:86" ht="15" customHeight="1" x14ac:dyDescent="0.35">
      <c r="B59" s="324"/>
      <c r="C59" s="325"/>
      <c r="D59" s="325"/>
      <c r="E59" s="325"/>
      <c r="F59" s="325"/>
      <c r="G59" s="325"/>
      <c r="H59" s="325"/>
      <c r="I59" s="325"/>
      <c r="J59" s="325"/>
      <c r="K59" s="325"/>
      <c r="L59" s="325"/>
      <c r="M59" s="326"/>
      <c r="N59" s="324"/>
      <c r="O59" s="325"/>
      <c r="P59" s="325"/>
      <c r="Q59" s="325"/>
      <c r="R59" s="325"/>
      <c r="S59" s="325"/>
      <c r="T59" s="325"/>
      <c r="U59" s="325"/>
      <c r="V59" s="325"/>
      <c r="W59" s="325"/>
      <c r="X59" s="325"/>
      <c r="Y59" s="326"/>
      <c r="Z59" s="324"/>
      <c r="AA59" s="325"/>
      <c r="AB59" s="325"/>
      <c r="AC59" s="325"/>
      <c r="AD59" s="325"/>
      <c r="AE59" s="325"/>
      <c r="AF59" s="325"/>
      <c r="AG59" s="325"/>
      <c r="AH59" s="325"/>
      <c r="AI59" s="325"/>
      <c r="AJ59" s="325"/>
      <c r="AK59" s="326"/>
      <c r="AL59" s="324"/>
      <c r="AM59" s="325"/>
      <c r="AN59" s="325"/>
      <c r="AO59" s="325"/>
      <c r="AP59" s="325"/>
      <c r="AQ59" s="325"/>
      <c r="AR59" s="325"/>
      <c r="AS59" s="325"/>
      <c r="AT59" s="325"/>
      <c r="AU59" s="325"/>
      <c r="AV59" s="325"/>
      <c r="AW59" s="326"/>
      <c r="AX59" s="324"/>
      <c r="AY59" s="325"/>
      <c r="AZ59" s="325"/>
      <c r="BA59" s="325"/>
      <c r="BB59" s="325"/>
      <c r="BC59" s="325"/>
      <c r="BD59" s="325"/>
      <c r="BE59" s="325"/>
      <c r="BF59" s="325"/>
      <c r="BG59" s="325"/>
      <c r="BH59" s="325"/>
      <c r="BI59" s="326"/>
    </row>
    <row r="60" spans="1:86" s="122" customFormat="1" ht="14.25" customHeight="1" x14ac:dyDescent="0.35">
      <c r="A60" s="335" t="s">
        <v>271</v>
      </c>
      <c r="B60" s="332">
        <f t="shared" ref="B60:AG60" si="71">B44-B58</f>
        <v>-45131.555633333322</v>
      </c>
      <c r="C60" s="333">
        <f t="shared" si="71"/>
        <v>-24452.111675</v>
      </c>
      <c r="D60" s="333">
        <f t="shared" si="71"/>
        <v>21874.697683333332</v>
      </c>
      <c r="E60" s="333">
        <f t="shared" si="71"/>
        <v>-19644.722925000016</v>
      </c>
      <c r="F60" s="333">
        <f t="shared" si="71"/>
        <v>1020.8735166666884</v>
      </c>
      <c r="G60" s="333">
        <f t="shared" si="71"/>
        <v>12021.205991666662</v>
      </c>
      <c r="H60" s="333">
        <f t="shared" si="71"/>
        <v>22026.87874166666</v>
      </c>
      <c r="I60" s="333">
        <f t="shared" si="71"/>
        <v>24591.234783333326</v>
      </c>
      <c r="J60" s="333">
        <f t="shared" si="71"/>
        <v>11478.790825000004</v>
      </c>
      <c r="K60" s="333">
        <f t="shared" si="71"/>
        <v>2156.6029083333342</v>
      </c>
      <c r="L60" s="333">
        <f t="shared" si="71"/>
        <v>3405.272700000005</v>
      </c>
      <c r="M60" s="334">
        <f t="shared" si="71"/>
        <v>8598.6727000000028</v>
      </c>
      <c r="N60" s="332">
        <f t="shared" si="71"/>
        <v>-43769.58146666667</v>
      </c>
      <c r="O60" s="333">
        <f t="shared" si="71"/>
        <v>-3636.4927166666603</v>
      </c>
      <c r="P60" s="333">
        <f t="shared" si="71"/>
        <v>6794.3916416666907</v>
      </c>
      <c r="Q60" s="333">
        <f t="shared" si="71"/>
        <v>10657.807283333328</v>
      </c>
      <c r="R60" s="333">
        <f t="shared" si="71"/>
        <v>29910.010600000009</v>
      </c>
      <c r="S60" s="333">
        <f t="shared" si="71"/>
        <v>25230.895200000028</v>
      </c>
      <c r="T60" s="333">
        <f t="shared" si="71"/>
        <v>69007.686450000008</v>
      </c>
      <c r="U60" s="333">
        <f t="shared" si="71"/>
        <v>77602.599366666676</v>
      </c>
      <c r="V60" s="333">
        <f t="shared" si="71"/>
        <v>45036.510616666681</v>
      </c>
      <c r="W60" s="333">
        <f t="shared" si="71"/>
        <v>22291.234783333326</v>
      </c>
      <c r="X60" s="333">
        <f t="shared" si="71"/>
        <v>28889.474366666673</v>
      </c>
      <c r="Y60" s="334">
        <f t="shared" si="71"/>
        <v>34082.874366666671</v>
      </c>
      <c r="Z60" s="332">
        <f t="shared" si="71"/>
        <v>-7614.0471333333116</v>
      </c>
      <c r="AA60" s="333">
        <f t="shared" si="71"/>
        <v>3416.5058250000002</v>
      </c>
      <c r="AB60" s="333">
        <f t="shared" si="71"/>
        <v>4198.4991833333333</v>
      </c>
      <c r="AC60" s="333">
        <f t="shared" si="71"/>
        <v>28721.670991666673</v>
      </c>
      <c r="AD60" s="333">
        <f t="shared" si="71"/>
        <v>57097.64101666669</v>
      </c>
      <c r="AE60" s="333">
        <f t="shared" si="71"/>
        <v>52418.52561666668</v>
      </c>
      <c r="AF60" s="333">
        <f t="shared" si="71"/>
        <v>107050.31924166667</v>
      </c>
      <c r="AG60" s="333">
        <f t="shared" si="71"/>
        <v>93779.364616666673</v>
      </c>
      <c r="AH60" s="333">
        <f t="shared" ref="AH60:BI60" si="72">AH44-AH58</f>
        <v>77573.710825000002</v>
      </c>
      <c r="AI60" s="333">
        <f t="shared" si="72"/>
        <v>36580.901574999996</v>
      </c>
      <c r="AJ60" s="333">
        <f t="shared" si="72"/>
        <v>41292.042700000005</v>
      </c>
      <c r="AK60" s="334">
        <f t="shared" si="72"/>
        <v>46485.4427</v>
      </c>
      <c r="AL60" s="332">
        <f t="shared" si="72"/>
        <v>4602.9294083333371</v>
      </c>
      <c r="AM60" s="333">
        <f t="shared" si="72"/>
        <v>14563.568408333347</v>
      </c>
      <c r="AN60" s="333">
        <f t="shared" si="72"/>
        <v>19644.882975000015</v>
      </c>
      <c r="AO60" s="333">
        <f t="shared" si="72"/>
        <v>52085.710116666683</v>
      </c>
      <c r="AP60" s="333">
        <f t="shared" si="72"/>
        <v>88243.138058333338</v>
      </c>
      <c r="AQ60" s="333">
        <f t="shared" si="72"/>
        <v>88586.072658333316</v>
      </c>
      <c r="AR60" s="333">
        <f t="shared" si="72"/>
        <v>152866.75728333334</v>
      </c>
      <c r="AS60" s="333">
        <f t="shared" si="72"/>
        <v>133020.45611666673</v>
      </c>
      <c r="AT60" s="333">
        <f t="shared" si="72"/>
        <v>114130.18474166669</v>
      </c>
      <c r="AU60" s="333">
        <f t="shared" si="72"/>
        <v>59986.682408333349</v>
      </c>
      <c r="AV60" s="333">
        <f t="shared" si="72"/>
        <v>66701.454033333343</v>
      </c>
      <c r="AW60" s="334">
        <f t="shared" si="72"/>
        <v>71894.854033333337</v>
      </c>
      <c r="AX60" s="332">
        <f t="shared" si="72"/>
        <v>31675.477700000032</v>
      </c>
      <c r="AY60" s="333">
        <f t="shared" si="72"/>
        <v>1392.8560000000289</v>
      </c>
      <c r="AZ60" s="333">
        <f t="shared" si="72"/>
        <v>57904.150775000016</v>
      </c>
      <c r="BA60" s="333">
        <f t="shared" si="72"/>
        <v>85087.72350000008</v>
      </c>
      <c r="BB60" s="333">
        <f t="shared" si="72"/>
        <v>117635.59372500007</v>
      </c>
      <c r="BC60" s="333">
        <f t="shared" si="72"/>
        <v>112956.47832500006</v>
      </c>
      <c r="BD60" s="333">
        <f t="shared" si="72"/>
        <v>150702.71270000006</v>
      </c>
      <c r="BE60" s="333">
        <f t="shared" si="72"/>
        <v>132053.74650000007</v>
      </c>
      <c r="BF60" s="333">
        <f t="shared" si="72"/>
        <v>108016.08890000003</v>
      </c>
      <c r="BG60" s="333">
        <f t="shared" si="72"/>
        <v>123809.49350000004</v>
      </c>
      <c r="BH60" s="333">
        <f t="shared" si="72"/>
        <v>71543.452350000007</v>
      </c>
      <c r="BI60" s="334">
        <f t="shared" si="72"/>
        <v>76736.852350000016</v>
      </c>
    </row>
    <row r="61" spans="1:86" s="122" customFormat="1" ht="15" customHeight="1" x14ac:dyDescent="0.35">
      <c r="A61" s="331" t="s">
        <v>272</v>
      </c>
      <c r="B61" s="332">
        <f>N31+B60</f>
        <v>132160.87968333339</v>
      </c>
      <c r="C61" s="333">
        <f t="shared" ref="C61:AH61" si="73">B61+C60</f>
        <v>107708.7680083334</v>
      </c>
      <c r="D61" s="333">
        <f t="shared" si="73"/>
        <v>129583.46569166673</v>
      </c>
      <c r="E61" s="333">
        <f t="shared" si="73"/>
        <v>109938.74276666672</v>
      </c>
      <c r="F61" s="333">
        <f t="shared" si="73"/>
        <v>110959.61628333341</v>
      </c>
      <c r="G61" s="333">
        <f t="shared" si="73"/>
        <v>122980.82227500007</v>
      </c>
      <c r="H61" s="333">
        <f t="shared" si="73"/>
        <v>145007.70101666672</v>
      </c>
      <c r="I61" s="333">
        <f t="shared" si="73"/>
        <v>169598.93580000004</v>
      </c>
      <c r="J61" s="333">
        <f t="shared" si="73"/>
        <v>181077.72662500004</v>
      </c>
      <c r="K61" s="333">
        <f t="shared" si="73"/>
        <v>183234.32953333337</v>
      </c>
      <c r="L61" s="333">
        <f t="shared" si="73"/>
        <v>186639.60223333337</v>
      </c>
      <c r="M61" s="334">
        <f t="shared" si="73"/>
        <v>195238.27493333336</v>
      </c>
      <c r="N61" s="334">
        <f t="shared" si="73"/>
        <v>151468.69346666668</v>
      </c>
      <c r="O61" s="334">
        <f t="shared" si="73"/>
        <v>147832.20075000002</v>
      </c>
      <c r="P61" s="334">
        <f t="shared" si="73"/>
        <v>154626.59239166672</v>
      </c>
      <c r="Q61" s="334">
        <f t="shared" si="73"/>
        <v>165284.39967500005</v>
      </c>
      <c r="R61" s="334">
        <f t="shared" si="73"/>
        <v>195194.41027500006</v>
      </c>
      <c r="S61" s="334">
        <f t="shared" si="73"/>
        <v>220425.30547500009</v>
      </c>
      <c r="T61" s="334">
        <f t="shared" si="73"/>
        <v>289432.9919250001</v>
      </c>
      <c r="U61" s="334">
        <f t="shared" si="73"/>
        <v>367035.59129166679</v>
      </c>
      <c r="V61" s="334">
        <f t="shared" si="73"/>
        <v>412072.10190833348</v>
      </c>
      <c r="W61" s="334">
        <f t="shared" si="73"/>
        <v>434363.3366916668</v>
      </c>
      <c r="X61" s="334">
        <f t="shared" si="73"/>
        <v>463252.81105833349</v>
      </c>
      <c r="Y61" s="334">
        <f t="shared" si="73"/>
        <v>497335.68542500015</v>
      </c>
      <c r="Z61" s="334">
        <f t="shared" si="73"/>
        <v>489721.63829166687</v>
      </c>
      <c r="AA61" s="334">
        <f t="shared" si="73"/>
        <v>493138.14411666687</v>
      </c>
      <c r="AB61" s="334">
        <f t="shared" si="73"/>
        <v>497336.64330000023</v>
      </c>
      <c r="AC61" s="334">
        <f t="shared" si="73"/>
        <v>526058.31429166696</v>
      </c>
      <c r="AD61" s="334">
        <f t="shared" si="73"/>
        <v>583155.95530833362</v>
      </c>
      <c r="AE61" s="334">
        <f t="shared" si="73"/>
        <v>635574.48092500027</v>
      </c>
      <c r="AF61" s="334">
        <f t="shared" si="73"/>
        <v>742624.80016666697</v>
      </c>
      <c r="AG61" s="334">
        <f t="shared" si="73"/>
        <v>836404.16478333366</v>
      </c>
      <c r="AH61" s="334">
        <f t="shared" si="73"/>
        <v>913977.87560833362</v>
      </c>
      <c r="AI61" s="334">
        <f t="shared" ref="AI61:BI61" si="74">AH61+AI60</f>
        <v>950558.77718333364</v>
      </c>
      <c r="AJ61" s="334">
        <f t="shared" si="74"/>
        <v>991850.81988333364</v>
      </c>
      <c r="AK61" s="334">
        <f t="shared" si="74"/>
        <v>1038336.2625833336</v>
      </c>
      <c r="AL61" s="334">
        <f t="shared" si="74"/>
        <v>1042939.191991667</v>
      </c>
      <c r="AM61" s="334">
        <f t="shared" si="74"/>
        <v>1057502.7604000005</v>
      </c>
      <c r="AN61" s="334">
        <f t="shared" si="74"/>
        <v>1077147.6433750005</v>
      </c>
      <c r="AO61" s="334">
        <f t="shared" si="74"/>
        <v>1129233.3534916672</v>
      </c>
      <c r="AP61" s="334">
        <f t="shared" si="74"/>
        <v>1217476.4915500006</v>
      </c>
      <c r="AQ61" s="334">
        <f t="shared" si="74"/>
        <v>1306062.5642083338</v>
      </c>
      <c r="AR61" s="334">
        <f t="shared" si="74"/>
        <v>1458929.3214916671</v>
      </c>
      <c r="AS61" s="334">
        <f t="shared" si="74"/>
        <v>1591949.7776083339</v>
      </c>
      <c r="AT61" s="334">
        <f t="shared" si="74"/>
        <v>1706079.9623500006</v>
      </c>
      <c r="AU61" s="334">
        <f t="shared" si="74"/>
        <v>1766066.6447583339</v>
      </c>
      <c r="AV61" s="334">
        <f t="shared" si="74"/>
        <v>1832768.0987916673</v>
      </c>
      <c r="AW61" s="334">
        <f t="shared" si="74"/>
        <v>1904662.9528250005</v>
      </c>
      <c r="AX61" s="334">
        <f t="shared" si="74"/>
        <v>1936338.4305250004</v>
      </c>
      <c r="AY61" s="334">
        <f t="shared" si="74"/>
        <v>1937731.2865250004</v>
      </c>
      <c r="AZ61" s="334">
        <f t="shared" si="74"/>
        <v>1995635.4373000003</v>
      </c>
      <c r="BA61" s="334">
        <f t="shared" si="74"/>
        <v>2080723.1608000004</v>
      </c>
      <c r="BB61" s="334">
        <f t="shared" si="74"/>
        <v>2198358.7545250007</v>
      </c>
      <c r="BC61" s="334">
        <f t="shared" si="74"/>
        <v>2311315.2328500007</v>
      </c>
      <c r="BD61" s="334">
        <f t="shared" si="74"/>
        <v>2462017.9455500008</v>
      </c>
      <c r="BE61" s="334">
        <f t="shared" si="74"/>
        <v>2594071.6920500007</v>
      </c>
      <c r="BF61" s="334">
        <f t="shared" si="74"/>
        <v>2702087.7809500005</v>
      </c>
      <c r="BG61" s="334">
        <f t="shared" si="74"/>
        <v>2825897.2744500004</v>
      </c>
      <c r="BH61" s="334">
        <f t="shared" si="74"/>
        <v>2897440.7268000003</v>
      </c>
      <c r="BI61" s="334">
        <f t="shared" si="74"/>
        <v>2974177.5791500001</v>
      </c>
    </row>
    <row r="62" spans="1:86" ht="15" customHeight="1" x14ac:dyDescent="0.35">
      <c r="B62" s="111"/>
      <c r="M62" s="112"/>
      <c r="N62" s="111"/>
      <c r="Y62" s="112"/>
      <c r="Z62" s="111"/>
      <c r="AK62" s="112"/>
      <c r="AL62" s="111"/>
      <c r="AW62" s="112"/>
      <c r="AX62" s="111"/>
      <c r="BI62" s="112"/>
    </row>
    <row r="63" spans="1:86" ht="15" customHeight="1" x14ac:dyDescent="0.35">
      <c r="A63" s="106" t="s">
        <v>273</v>
      </c>
      <c r="B63" s="111"/>
      <c r="M63" s="112"/>
      <c r="N63" s="111"/>
      <c r="Y63" s="112"/>
      <c r="Z63" s="111"/>
      <c r="AK63" s="112"/>
      <c r="AL63" s="111"/>
      <c r="AW63" s="112"/>
      <c r="AX63" s="111"/>
      <c r="BI63" s="112"/>
    </row>
    <row r="64" spans="1:86" ht="15" customHeight="1" x14ac:dyDescent="0.35">
      <c r="A64" t="s">
        <v>274</v>
      </c>
      <c r="B64" s="111">
        <v>20</v>
      </c>
      <c r="C64">
        <v>25</v>
      </c>
      <c r="D64">
        <v>30</v>
      </c>
      <c r="E64">
        <v>35</v>
      </c>
      <c r="F64">
        <v>50</v>
      </c>
      <c r="G64">
        <v>37</v>
      </c>
      <c r="H64">
        <v>35</v>
      </c>
      <c r="I64">
        <v>30</v>
      </c>
      <c r="J64">
        <v>25</v>
      </c>
      <c r="K64">
        <v>15</v>
      </c>
      <c r="L64">
        <v>0</v>
      </c>
      <c r="M64" s="112">
        <v>0</v>
      </c>
      <c r="N64" s="111">
        <f>B64*2</f>
        <v>40</v>
      </c>
      <c r="O64" s="111">
        <f t="shared" ref="O64:Y64" si="75">C64*2</f>
        <v>50</v>
      </c>
      <c r="P64" s="111">
        <v>75</v>
      </c>
      <c r="Q64" s="111">
        <v>90</v>
      </c>
      <c r="R64" s="111">
        <f t="shared" si="75"/>
        <v>100</v>
      </c>
      <c r="S64" s="111">
        <v>100</v>
      </c>
      <c r="T64" s="111">
        <f t="shared" si="75"/>
        <v>70</v>
      </c>
      <c r="U64" s="111">
        <f t="shared" si="75"/>
        <v>60</v>
      </c>
      <c r="V64" s="111">
        <f t="shared" si="75"/>
        <v>50</v>
      </c>
      <c r="W64" s="111">
        <f t="shared" si="75"/>
        <v>30</v>
      </c>
      <c r="X64" s="111">
        <f t="shared" si="75"/>
        <v>0</v>
      </c>
      <c r="Y64" s="111">
        <f t="shared" si="75"/>
        <v>0</v>
      </c>
      <c r="Z64" s="111">
        <f>ROUND(N64*1.3,0)</f>
        <v>52</v>
      </c>
      <c r="AA64" s="111">
        <f t="shared" ref="AA64:AK64" si="76">ROUND(O64*1.3,0)</f>
        <v>65</v>
      </c>
      <c r="AB64" s="111">
        <f t="shared" si="76"/>
        <v>98</v>
      </c>
      <c r="AC64" s="111">
        <f t="shared" si="76"/>
        <v>117</v>
      </c>
      <c r="AD64" s="111">
        <f t="shared" si="76"/>
        <v>130</v>
      </c>
      <c r="AE64" s="111">
        <f t="shared" si="76"/>
        <v>130</v>
      </c>
      <c r="AF64" s="111">
        <f t="shared" si="76"/>
        <v>91</v>
      </c>
      <c r="AG64" s="111">
        <f t="shared" si="76"/>
        <v>78</v>
      </c>
      <c r="AH64" s="111">
        <f t="shared" si="76"/>
        <v>65</v>
      </c>
      <c r="AI64" s="111">
        <f t="shared" si="76"/>
        <v>39</v>
      </c>
      <c r="AJ64" s="111">
        <f t="shared" si="76"/>
        <v>0</v>
      </c>
      <c r="AK64" s="111">
        <f t="shared" si="76"/>
        <v>0</v>
      </c>
      <c r="AL64" s="115">
        <f>ROUND(Z64*1.21,0)</f>
        <v>63</v>
      </c>
      <c r="AM64" s="115">
        <f t="shared" ref="AM64:AW64" si="77">ROUND(AA64*1.21,0)</f>
        <v>79</v>
      </c>
      <c r="AN64" s="115">
        <f t="shared" si="77"/>
        <v>119</v>
      </c>
      <c r="AO64" s="115">
        <f t="shared" si="77"/>
        <v>142</v>
      </c>
      <c r="AP64" s="115">
        <f t="shared" si="77"/>
        <v>157</v>
      </c>
      <c r="AQ64" s="115">
        <f t="shared" si="77"/>
        <v>157</v>
      </c>
      <c r="AR64" s="115">
        <f t="shared" si="77"/>
        <v>110</v>
      </c>
      <c r="AS64" s="115">
        <f t="shared" si="77"/>
        <v>94</v>
      </c>
      <c r="AT64" s="115">
        <f t="shared" si="77"/>
        <v>79</v>
      </c>
      <c r="AU64" s="115">
        <f t="shared" si="77"/>
        <v>47</v>
      </c>
      <c r="AV64" s="115">
        <f t="shared" si="77"/>
        <v>0</v>
      </c>
      <c r="AW64" s="115">
        <f t="shared" si="77"/>
        <v>0</v>
      </c>
      <c r="AX64" s="111">
        <v>50</v>
      </c>
      <c r="AY64">
        <v>100</v>
      </c>
      <c r="AZ64">
        <v>100</v>
      </c>
      <c r="BA64">
        <v>130</v>
      </c>
      <c r="BB64">
        <v>150</v>
      </c>
      <c r="BC64">
        <v>150</v>
      </c>
      <c r="BD64">
        <v>125</v>
      </c>
      <c r="BE64">
        <v>106</v>
      </c>
      <c r="BF64">
        <v>94</v>
      </c>
      <c r="BG64">
        <v>0</v>
      </c>
      <c r="BH64">
        <v>0</v>
      </c>
      <c r="BI64" s="112">
        <v>0</v>
      </c>
    </row>
    <row r="65" spans="1:61" ht="14.25" customHeight="1" x14ac:dyDescent="0.35">
      <c r="A65" t="s">
        <v>275</v>
      </c>
      <c r="B65" s="111">
        <v>5</v>
      </c>
      <c r="C65">
        <v>10</v>
      </c>
      <c r="D65">
        <v>15</v>
      </c>
      <c r="E65">
        <v>25</v>
      </c>
      <c r="F65">
        <v>35</v>
      </c>
      <c r="G65">
        <v>35</v>
      </c>
      <c r="H65">
        <v>35</v>
      </c>
      <c r="I65">
        <v>30</v>
      </c>
      <c r="J65">
        <v>25</v>
      </c>
      <c r="K65">
        <v>15</v>
      </c>
      <c r="L65">
        <v>10</v>
      </c>
      <c r="M65" s="112">
        <v>10</v>
      </c>
      <c r="N65" s="111">
        <v>15</v>
      </c>
      <c r="O65" s="111">
        <v>30</v>
      </c>
      <c r="P65" s="111">
        <v>50</v>
      </c>
      <c r="Q65" s="111">
        <v>60</v>
      </c>
      <c r="R65" s="111">
        <f>F65*2</f>
        <v>70</v>
      </c>
      <c r="S65" s="111">
        <f>G65*2</f>
        <v>70</v>
      </c>
      <c r="T65" s="111">
        <f>H65*2</f>
        <v>70</v>
      </c>
      <c r="U65" s="111">
        <v>65</v>
      </c>
      <c r="V65" s="111">
        <f>J65*2</f>
        <v>50</v>
      </c>
      <c r="W65" s="111">
        <v>30</v>
      </c>
      <c r="X65" s="111">
        <f>L65*2</f>
        <v>20</v>
      </c>
      <c r="Y65" s="111">
        <f>M65*2</f>
        <v>20</v>
      </c>
      <c r="Z65" s="111">
        <v>40</v>
      </c>
      <c r="AA65" s="111">
        <v>45</v>
      </c>
      <c r="AB65" s="111">
        <v>65</v>
      </c>
      <c r="AC65" s="111">
        <v>85</v>
      </c>
      <c r="AD65" s="111">
        <v>100</v>
      </c>
      <c r="AE65" s="111">
        <v>100</v>
      </c>
      <c r="AF65" s="111">
        <v>100</v>
      </c>
      <c r="AG65" s="111">
        <v>85</v>
      </c>
      <c r="AH65" s="111">
        <f>V65*1.5</f>
        <v>75</v>
      </c>
      <c r="AI65" s="111">
        <f>W65*1.5</f>
        <v>45</v>
      </c>
      <c r="AJ65" s="111">
        <f>X65*1.5</f>
        <v>30</v>
      </c>
      <c r="AK65" s="111">
        <f>Y65*1.5</f>
        <v>30</v>
      </c>
      <c r="AL65" s="111">
        <f>Z65/8*10</f>
        <v>50</v>
      </c>
      <c r="AM65" s="111">
        <v>56</v>
      </c>
      <c r="AN65" s="111">
        <v>81</v>
      </c>
      <c r="AO65" s="111">
        <v>106</v>
      </c>
      <c r="AP65" s="111">
        <v>125</v>
      </c>
      <c r="AQ65" s="111">
        <f>AE65/8*10</f>
        <v>125</v>
      </c>
      <c r="AR65" s="111">
        <f>AF65/8*10</f>
        <v>125</v>
      </c>
      <c r="AS65" s="111">
        <v>106</v>
      </c>
      <c r="AT65" s="111">
        <v>94</v>
      </c>
      <c r="AU65" s="111">
        <v>56</v>
      </c>
      <c r="AV65" s="111">
        <v>38</v>
      </c>
      <c r="AW65" s="111">
        <v>38</v>
      </c>
      <c r="AX65" s="111">
        <v>50</v>
      </c>
      <c r="AY65">
        <v>56</v>
      </c>
      <c r="AZ65">
        <v>81</v>
      </c>
      <c r="BA65">
        <v>106</v>
      </c>
      <c r="BB65">
        <v>125</v>
      </c>
      <c r="BC65">
        <v>125</v>
      </c>
      <c r="BD65">
        <v>125</v>
      </c>
      <c r="BE65">
        <v>106</v>
      </c>
      <c r="BF65">
        <v>94</v>
      </c>
      <c r="BG65">
        <v>56</v>
      </c>
      <c r="BH65">
        <v>38</v>
      </c>
      <c r="BI65" s="112">
        <v>38</v>
      </c>
    </row>
    <row r="66" spans="1:61" ht="14.25" customHeight="1" x14ac:dyDescent="0.35">
      <c r="A66" t="s">
        <v>477</v>
      </c>
      <c r="B66" s="119">
        <f>N36+B64-B65</f>
        <v>30</v>
      </c>
      <c r="C66" s="120">
        <f t="shared" ref="C66:AH66" si="78">B66+C64-C65</f>
        <v>45</v>
      </c>
      <c r="D66" s="120">
        <f t="shared" si="78"/>
        <v>60</v>
      </c>
      <c r="E66" s="120">
        <f t="shared" si="78"/>
        <v>70</v>
      </c>
      <c r="F66" s="120">
        <f t="shared" si="78"/>
        <v>85</v>
      </c>
      <c r="G66" s="120">
        <f t="shared" si="78"/>
        <v>87</v>
      </c>
      <c r="H66" s="120">
        <f t="shared" si="78"/>
        <v>87</v>
      </c>
      <c r="I66" s="120">
        <f t="shared" si="78"/>
        <v>87</v>
      </c>
      <c r="J66" s="120">
        <f t="shared" si="78"/>
        <v>87</v>
      </c>
      <c r="K66" s="120">
        <f t="shared" si="78"/>
        <v>87</v>
      </c>
      <c r="L66" s="120">
        <f t="shared" si="78"/>
        <v>77</v>
      </c>
      <c r="M66" s="121">
        <f t="shared" si="78"/>
        <v>67</v>
      </c>
      <c r="N66" s="121">
        <f t="shared" si="78"/>
        <v>92</v>
      </c>
      <c r="O66" s="121">
        <f t="shared" si="78"/>
        <v>112</v>
      </c>
      <c r="P66" s="121">
        <f t="shared" si="78"/>
        <v>137</v>
      </c>
      <c r="Q66" s="121">
        <f t="shared" si="78"/>
        <v>167</v>
      </c>
      <c r="R66" s="121">
        <f t="shared" si="78"/>
        <v>197</v>
      </c>
      <c r="S66" s="121">
        <f t="shared" si="78"/>
        <v>227</v>
      </c>
      <c r="T66" s="121">
        <f t="shared" si="78"/>
        <v>227</v>
      </c>
      <c r="U66" s="121">
        <f t="shared" si="78"/>
        <v>222</v>
      </c>
      <c r="V66" s="121">
        <f t="shared" si="78"/>
        <v>222</v>
      </c>
      <c r="W66" s="121">
        <f t="shared" si="78"/>
        <v>222</v>
      </c>
      <c r="X66" s="121">
        <f t="shared" si="78"/>
        <v>202</v>
      </c>
      <c r="Y66" s="121">
        <f t="shared" si="78"/>
        <v>182</v>
      </c>
      <c r="Z66" s="284">
        <f t="shared" si="78"/>
        <v>194</v>
      </c>
      <c r="AA66" s="284">
        <f t="shared" si="78"/>
        <v>214</v>
      </c>
      <c r="AB66" s="284">
        <f t="shared" si="78"/>
        <v>247</v>
      </c>
      <c r="AC66" s="284">
        <f t="shared" si="78"/>
        <v>279</v>
      </c>
      <c r="AD66" s="284">
        <f t="shared" si="78"/>
        <v>309</v>
      </c>
      <c r="AE66" s="284">
        <f t="shared" si="78"/>
        <v>339</v>
      </c>
      <c r="AF66" s="284">
        <f t="shared" si="78"/>
        <v>330</v>
      </c>
      <c r="AG66" s="284">
        <f t="shared" si="78"/>
        <v>323</v>
      </c>
      <c r="AH66" s="284">
        <f t="shared" si="78"/>
        <v>313</v>
      </c>
      <c r="AI66" s="284">
        <f t="shared" ref="AI66:BI66" si="79">AH66+AI64-AI65</f>
        <v>307</v>
      </c>
      <c r="AJ66" s="284">
        <f t="shared" si="79"/>
        <v>277</v>
      </c>
      <c r="AK66" s="284">
        <f t="shared" si="79"/>
        <v>247</v>
      </c>
      <c r="AL66" s="284">
        <f t="shared" si="79"/>
        <v>260</v>
      </c>
      <c r="AM66" s="284">
        <f t="shared" si="79"/>
        <v>283</v>
      </c>
      <c r="AN66" s="284">
        <f t="shared" si="79"/>
        <v>321</v>
      </c>
      <c r="AO66" s="284">
        <f t="shared" si="79"/>
        <v>357</v>
      </c>
      <c r="AP66" s="284">
        <f t="shared" si="79"/>
        <v>389</v>
      </c>
      <c r="AQ66" s="284">
        <f t="shared" si="79"/>
        <v>421</v>
      </c>
      <c r="AR66" s="284">
        <f t="shared" si="79"/>
        <v>406</v>
      </c>
      <c r="AS66" s="284">
        <f t="shared" si="79"/>
        <v>394</v>
      </c>
      <c r="AT66" s="284">
        <f t="shared" si="79"/>
        <v>379</v>
      </c>
      <c r="AU66" s="284">
        <f t="shared" si="79"/>
        <v>370</v>
      </c>
      <c r="AV66" s="284">
        <f t="shared" si="79"/>
        <v>332</v>
      </c>
      <c r="AW66" s="284">
        <f t="shared" si="79"/>
        <v>294</v>
      </c>
      <c r="AX66" s="284">
        <f t="shared" si="79"/>
        <v>294</v>
      </c>
      <c r="AY66" s="284">
        <f t="shared" si="79"/>
        <v>338</v>
      </c>
      <c r="AZ66" s="284">
        <f t="shared" si="79"/>
        <v>357</v>
      </c>
      <c r="BA66" s="284">
        <f t="shared" si="79"/>
        <v>381</v>
      </c>
      <c r="BB66" s="284">
        <f t="shared" si="79"/>
        <v>406</v>
      </c>
      <c r="BC66" s="284">
        <f t="shared" si="79"/>
        <v>431</v>
      </c>
      <c r="BD66" s="284">
        <f t="shared" si="79"/>
        <v>431</v>
      </c>
      <c r="BE66" s="284">
        <f t="shared" si="79"/>
        <v>431</v>
      </c>
      <c r="BF66" s="284">
        <f t="shared" si="79"/>
        <v>431</v>
      </c>
      <c r="BG66" s="284">
        <f t="shared" si="79"/>
        <v>375</v>
      </c>
      <c r="BH66" s="284">
        <f t="shared" si="79"/>
        <v>337</v>
      </c>
      <c r="BI66" s="284">
        <f t="shared" si="79"/>
        <v>299</v>
      </c>
    </row>
    <row r="67" spans="1:61" ht="15" customHeight="1" x14ac:dyDescent="0.35">
      <c r="L67" s="122" t="s">
        <v>282</v>
      </c>
      <c r="M67">
        <f>SUM(B64:M64)</f>
        <v>302</v>
      </c>
      <c r="X67" s="122" t="s">
        <v>282</v>
      </c>
      <c r="Y67">
        <f>SUM(N64:Y64)</f>
        <v>665</v>
      </c>
      <c r="AJ67" s="122" t="s">
        <v>282</v>
      </c>
      <c r="AK67">
        <f>SUM(Z64:AK64)</f>
        <v>865</v>
      </c>
      <c r="AV67" s="122" t="s">
        <v>282</v>
      </c>
      <c r="AW67">
        <f>SUM(AL64:AW64)</f>
        <v>1047</v>
      </c>
      <c r="BH67" s="122" t="s">
        <v>282</v>
      </c>
      <c r="BI67">
        <f>SUM(AX64:BI64)</f>
        <v>1005</v>
      </c>
    </row>
    <row r="68" spans="1:61" ht="14.25" customHeight="1" x14ac:dyDescent="0.35">
      <c r="L68" s="122" t="s">
        <v>283</v>
      </c>
      <c r="M68">
        <f>SUM(B65:M65)</f>
        <v>250</v>
      </c>
      <c r="X68" s="122" t="s">
        <v>283</v>
      </c>
      <c r="Y68">
        <f>SUM(N65:Y65)</f>
        <v>550</v>
      </c>
      <c r="AJ68" s="122" t="s">
        <v>283</v>
      </c>
      <c r="AK68">
        <f>SUM(Z65:AK65)</f>
        <v>800</v>
      </c>
      <c r="AV68" s="122" t="s">
        <v>283</v>
      </c>
      <c r="AW68">
        <f>SUM(AL65:AW65)</f>
        <v>1000</v>
      </c>
      <c r="BH68" s="122" t="s">
        <v>283</v>
      </c>
      <c r="BI68">
        <f>SUM(AX65:BI65)</f>
        <v>1000</v>
      </c>
    </row>
    <row r="69" spans="1:61" ht="15" customHeight="1" x14ac:dyDescent="0.35">
      <c r="A69" s="86" t="s">
        <v>284</v>
      </c>
      <c r="L69" t="s">
        <v>285</v>
      </c>
      <c r="M69" s="47">
        <f>SUM(B43:M43)</f>
        <v>643020.83333333349</v>
      </c>
      <c r="X69" t="s">
        <v>285</v>
      </c>
      <c r="Y69" s="47">
        <f>SUM(N43:Y43)</f>
        <v>1414645.8333333337</v>
      </c>
      <c r="AJ69" t="s">
        <v>285</v>
      </c>
      <c r="AK69" s="47">
        <f>SUM(Z43:AK43)</f>
        <v>2057666.6666666665</v>
      </c>
      <c r="AV69" t="s">
        <v>285</v>
      </c>
      <c r="AW69" s="47">
        <f>SUM(AL43:AW43)</f>
        <v>2572083.3333333335</v>
      </c>
      <c r="BH69" t="s">
        <v>285</v>
      </c>
      <c r="BI69" s="47">
        <f>SUM(AX43:BI43)</f>
        <v>2700687.5000000005</v>
      </c>
    </row>
    <row r="70" spans="1:61" ht="15" customHeight="1" x14ac:dyDescent="0.35">
      <c r="L70" t="s">
        <v>286</v>
      </c>
      <c r="M70" s="47">
        <f>SUM(B60:M60)</f>
        <v>17945.839616666675</v>
      </c>
      <c r="X70" t="s">
        <v>286</v>
      </c>
      <c r="Y70" s="47">
        <f>SUM(N60:Y60)</f>
        <v>302097.41049166676</v>
      </c>
      <c r="AJ70" t="s">
        <v>286</v>
      </c>
      <c r="AK70" s="47">
        <f>SUM(Z60:AK60)</f>
        <v>541000.57715833338</v>
      </c>
      <c r="AV70" t="s">
        <v>286</v>
      </c>
      <c r="AW70" s="47">
        <f>SUM(AL60:AW60)</f>
        <v>866326.69024166686</v>
      </c>
      <c r="BH70" t="s">
        <v>286</v>
      </c>
      <c r="BI70" s="47">
        <f>SUM(AX60:BI60)</f>
        <v>1069514.6263250005</v>
      </c>
    </row>
    <row r="71" spans="1:61" ht="15" customHeight="1" x14ac:dyDescent="0.35">
      <c r="A71" s="33" t="s">
        <v>287</v>
      </c>
    </row>
    <row r="72" spans="1:61" ht="15" customHeight="1" x14ac:dyDescent="0.35">
      <c r="A72" t="s">
        <v>288</v>
      </c>
    </row>
    <row r="73" spans="1:61" ht="15" customHeight="1" x14ac:dyDescent="0.35">
      <c r="A73" t="s">
        <v>289</v>
      </c>
    </row>
    <row r="74" spans="1:61" ht="15" customHeight="1" x14ac:dyDescent="0.35">
      <c r="A74" t="s">
        <v>463</v>
      </c>
    </row>
    <row r="75" spans="1:61" ht="15" customHeight="1" x14ac:dyDescent="0.35"/>
    <row r="77" spans="1:61" ht="15" customHeight="1" x14ac:dyDescent="0.35">
      <c r="A77" t="s">
        <v>464</v>
      </c>
    </row>
    <row r="78" spans="1:61" ht="15" customHeight="1" x14ac:dyDescent="0.35"/>
    <row r="79" spans="1:61" ht="15" customHeight="1" x14ac:dyDescent="0.35">
      <c r="A79" s="123" t="s">
        <v>290</v>
      </c>
      <c r="B79" s="124">
        <f>MIN(B61:BI61)</f>
        <v>107708.7680083334</v>
      </c>
    </row>
    <row r="80" spans="1:61" ht="14.25" customHeight="1" x14ac:dyDescent="0.35">
      <c r="A80" t="s">
        <v>291</v>
      </c>
      <c r="B80" s="124">
        <f>N31</f>
        <v>177292.4353166667</v>
      </c>
    </row>
    <row r="81" spans="1:2" ht="15" customHeight="1" x14ac:dyDescent="0.35">
      <c r="A81" t="s">
        <v>292</v>
      </c>
      <c r="B81" s="124">
        <f>M61</f>
        <v>195238.27493333336</v>
      </c>
    </row>
    <row r="83" spans="1:2" ht="14.25" customHeight="1" x14ac:dyDescent="0.35">
      <c r="A83" s="85"/>
    </row>
    <row r="84" spans="1:2" ht="15" customHeight="1" x14ac:dyDescent="0.35"/>
    <row r="85" spans="1:2" x14ac:dyDescent="0.35">
      <c r="A85" s="33"/>
    </row>
    <row r="86" spans="1:2" ht="15" customHeight="1" x14ac:dyDescent="0.35"/>
    <row r="87" spans="1:2" ht="15" customHeight="1" x14ac:dyDescent="0.35">
      <c r="A87" t="s">
        <v>593</v>
      </c>
    </row>
    <row r="88" spans="1:2" ht="15" customHeight="1" x14ac:dyDescent="0.35"/>
    <row r="89" spans="1:2" ht="15" customHeight="1" x14ac:dyDescent="0.35"/>
    <row r="90" spans="1:2" ht="15" customHeight="1" x14ac:dyDescent="0.35">
      <c r="A90" t="s">
        <v>294</v>
      </c>
    </row>
    <row r="91" spans="1:2" ht="15" customHeight="1" x14ac:dyDescent="0.35">
      <c r="A91" t="s">
        <v>295</v>
      </c>
    </row>
    <row r="92" spans="1:2" ht="15" customHeight="1" x14ac:dyDescent="0.35">
      <c r="A92" t="s">
        <v>296</v>
      </c>
    </row>
    <row r="93" spans="1:2" ht="14.25" customHeight="1" x14ac:dyDescent="0.35">
      <c r="A93" t="s">
        <v>297</v>
      </c>
    </row>
    <row r="94" spans="1:2" ht="15" customHeight="1" x14ac:dyDescent="0.35">
      <c r="A94" t="s">
        <v>298</v>
      </c>
    </row>
    <row r="95" spans="1:2" ht="15" customHeight="1" x14ac:dyDescent="0.35"/>
    <row r="96" spans="1:2" ht="15" customHeight="1" x14ac:dyDescent="0.35"/>
    <row r="97" ht="15" customHeight="1" x14ac:dyDescent="0.35"/>
    <row r="98" ht="26" customHeight="1" x14ac:dyDescent="0.35"/>
    <row r="99" ht="15" customHeight="1" x14ac:dyDescent="0.35"/>
    <row r="100" ht="15" customHeight="1" x14ac:dyDescent="0.35"/>
    <row r="101" ht="14.25" customHeight="1" x14ac:dyDescent="0.35"/>
    <row r="102" ht="14.25" customHeight="1" x14ac:dyDescent="0.35"/>
    <row r="103" ht="14.25" customHeight="1" x14ac:dyDescent="0.35"/>
    <row r="104"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sheetData>
  <mergeCells count="5">
    <mergeCell ref="B38:M38"/>
    <mergeCell ref="N38:Y38"/>
    <mergeCell ref="Z38:AK38"/>
    <mergeCell ref="AL38:AW38"/>
    <mergeCell ref="AX38:BI38"/>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H45"/>
  <sheetViews>
    <sheetView topLeftCell="A6" zoomScale="85" zoomScaleNormal="85" workbookViewId="0">
      <selection activeCell="H13" sqref="H13"/>
    </sheetView>
  </sheetViews>
  <sheetFormatPr baseColWidth="10" defaultColWidth="8.6328125" defaultRowHeight="14.5" x14ac:dyDescent="0.35"/>
  <cols>
    <col min="1" max="1" width="50.26953125" customWidth="1"/>
    <col min="2" max="5" width="14" customWidth="1"/>
    <col min="6" max="6" width="15.453125" customWidth="1"/>
    <col min="7" max="8" width="15.54296875" customWidth="1"/>
  </cols>
  <sheetData>
    <row r="1" spans="1:8" ht="19.5" customHeight="1" x14ac:dyDescent="0.4">
      <c r="A1" s="399" t="s">
        <v>299</v>
      </c>
      <c r="B1" s="399"/>
      <c r="C1" s="399"/>
      <c r="D1" s="399"/>
      <c r="E1" s="399"/>
      <c r="F1" s="399"/>
      <c r="G1" s="399"/>
      <c r="H1" s="399"/>
    </row>
    <row r="3" spans="1:8" ht="15" customHeight="1" x14ac:dyDescent="0.35">
      <c r="A3" s="125" t="s">
        <v>300</v>
      </c>
      <c r="B3" s="126" t="s">
        <v>301</v>
      </c>
      <c r="C3" s="126" t="s">
        <v>302</v>
      </c>
      <c r="D3" s="125"/>
    </row>
    <row r="4" spans="1:8" ht="15" customHeight="1" x14ac:dyDescent="0.35">
      <c r="A4" s="38" t="s">
        <v>303</v>
      </c>
      <c r="B4" s="58">
        <f>'Marges Produits'!C49</f>
        <v>2572.0833333333335</v>
      </c>
    </row>
    <row r="5" spans="1:8" ht="15" customHeight="1" x14ac:dyDescent="0.35">
      <c r="A5" s="38" t="s">
        <v>304</v>
      </c>
      <c r="B5" s="58">
        <f>'Marges Produits'!D49</f>
        <v>1100.3574999999998</v>
      </c>
      <c r="C5" s="124">
        <f>'Marges Produits'!D51</f>
        <v>1228.9616666666668</v>
      </c>
    </row>
    <row r="6" spans="1:8" ht="15" customHeight="1" x14ac:dyDescent="0.35">
      <c r="A6" s="38" t="s">
        <v>305</v>
      </c>
      <c r="B6" s="58">
        <f>'Marges Produits'!E49</f>
        <v>1048.7925</v>
      </c>
    </row>
    <row r="7" spans="1:8" ht="15" customHeight="1" x14ac:dyDescent="0.35">
      <c r="A7" s="38" t="s">
        <v>306</v>
      </c>
      <c r="B7" s="127">
        <v>0.5</v>
      </c>
    </row>
    <row r="8" spans="1:8" ht="15" customHeight="1" x14ac:dyDescent="0.35">
      <c r="A8" s="38" t="s">
        <v>307</v>
      </c>
      <c r="B8" s="124">
        <f>'Charges Fixes Plume'!D57</f>
        <v>208782.334</v>
      </c>
    </row>
    <row r="10" spans="1:8" ht="15" customHeight="1" x14ac:dyDescent="0.35">
      <c r="A10" s="455" t="s">
        <v>308</v>
      </c>
      <c r="B10" s="455"/>
      <c r="C10" s="455"/>
      <c r="D10" s="455"/>
      <c r="E10" s="455"/>
      <c r="F10" s="455"/>
      <c r="G10" s="455"/>
      <c r="H10" s="455"/>
    </row>
    <row r="11" spans="1:8" ht="15" customHeight="1" x14ac:dyDescent="0.35">
      <c r="A11" s="88" t="s">
        <v>140</v>
      </c>
      <c r="B11" s="57">
        <v>2025</v>
      </c>
      <c r="C11" s="57">
        <v>2026</v>
      </c>
      <c r="D11" s="57">
        <v>2027</v>
      </c>
      <c r="E11" s="57">
        <v>2028</v>
      </c>
      <c r="F11" s="57">
        <v>2029</v>
      </c>
      <c r="G11" s="57">
        <v>2030</v>
      </c>
      <c r="H11" s="57">
        <v>2031</v>
      </c>
    </row>
    <row r="12" spans="1:8" ht="15" customHeight="1" x14ac:dyDescent="0.35">
      <c r="A12" s="38" t="s">
        <v>309</v>
      </c>
      <c r="B12" s="64">
        <f>'Seuil Rentabilité'!B25</f>
        <v>0</v>
      </c>
      <c r="C12" s="64">
        <f>'Plan Trésorerie Mensuel'!O35</f>
        <v>75</v>
      </c>
      <c r="D12" s="64">
        <f>'Plan Trésorerie Mensuel'!M68</f>
        <v>250</v>
      </c>
      <c r="E12" s="64">
        <f>'Plan Trésorerie Mensuel'!Y68</f>
        <v>550</v>
      </c>
      <c r="F12" s="64">
        <f>'Plan Trésorerie Mensuel'!AK68</f>
        <v>800</v>
      </c>
      <c r="G12" s="64">
        <f>'Plan Trésorerie Mensuel'!AW68</f>
        <v>1000</v>
      </c>
      <c r="H12" s="64">
        <f>'Plan Trésorerie Mensuel'!BI68</f>
        <v>1000</v>
      </c>
    </row>
    <row r="13" spans="1:8" ht="15" customHeight="1" x14ac:dyDescent="0.35">
      <c r="A13" s="60" t="s">
        <v>310</v>
      </c>
      <c r="B13" s="98">
        <f>'Plan Trésorerie Mensuel'!B12</f>
        <v>0</v>
      </c>
      <c r="C13" s="98">
        <f>SUM('Plan Trésorerie Mensuel'!C12:N12)</f>
        <v>192906.25</v>
      </c>
      <c r="D13" s="98">
        <f>SUM('Plan Trésorerie Mensuel'!M69)</f>
        <v>643020.83333333349</v>
      </c>
      <c r="E13" s="98">
        <f>'Plan Trésorerie Mensuel'!Y69</f>
        <v>1414645.8333333337</v>
      </c>
      <c r="F13" s="98">
        <f>'Plan Trésorerie Mensuel'!AK69</f>
        <v>2057666.6666666665</v>
      </c>
      <c r="G13" s="98">
        <f>'Plan Trésorerie Mensuel'!AW69</f>
        <v>2572083.3333333335</v>
      </c>
      <c r="H13" s="98">
        <f>'Plan Trésorerie Mensuel'!BI69</f>
        <v>2700687.5000000005</v>
      </c>
    </row>
    <row r="15" spans="1:8" ht="15" customHeight="1" x14ac:dyDescent="0.35">
      <c r="A15" s="455" t="s">
        <v>311</v>
      </c>
      <c r="B15" s="455"/>
      <c r="C15" s="455"/>
      <c r="D15" s="455"/>
      <c r="E15" s="455"/>
      <c r="F15" s="455"/>
      <c r="G15" s="455"/>
      <c r="H15" s="455"/>
    </row>
    <row r="16" spans="1:8" ht="15" customHeight="1" x14ac:dyDescent="0.35">
      <c r="A16" s="60" t="s">
        <v>312</v>
      </c>
      <c r="B16" s="98">
        <f t="shared" ref="B16:F16" si="0">B12*$B$5</f>
        <v>0</v>
      </c>
      <c r="C16" s="98">
        <f t="shared" si="0"/>
        <v>82526.812499999985</v>
      </c>
      <c r="D16" s="98">
        <f t="shared" si="0"/>
        <v>275089.37499999994</v>
      </c>
      <c r="E16" s="98">
        <f t="shared" si="0"/>
        <v>605196.62499999988</v>
      </c>
      <c r="F16" s="98">
        <f t="shared" si="0"/>
        <v>880285.99999999988</v>
      </c>
      <c r="G16" s="98">
        <f>G12*$B$5</f>
        <v>1100357.4999999998</v>
      </c>
      <c r="H16" s="98">
        <f>H12*$C$5</f>
        <v>1228961.6666666667</v>
      </c>
    </row>
    <row r="18" spans="1:8" ht="15" customHeight="1" x14ac:dyDescent="0.35">
      <c r="A18" s="455" t="s">
        <v>313</v>
      </c>
      <c r="B18" s="455"/>
      <c r="C18" s="455"/>
      <c r="D18" s="455"/>
      <c r="E18" s="455"/>
      <c r="F18" s="455"/>
      <c r="G18" s="455"/>
      <c r="H18" s="455"/>
    </row>
    <row r="19" spans="1:8" ht="15" customHeight="1" x14ac:dyDescent="0.35">
      <c r="A19" s="38" t="s">
        <v>307</v>
      </c>
      <c r="B19" s="128">
        <f>'Plan Trésorerie Mensuel'!B28</f>
        <v>8857.8558333333331</v>
      </c>
      <c r="C19" s="128">
        <f>SUM('Plan Trésorerie Mensuel'!C16:N23)</f>
        <v>203699.82399999991</v>
      </c>
      <c r="D19" s="128">
        <f>SUM('Plan Trésorerie Mensuel'!B47:M53)</f>
        <v>212738.2319999999</v>
      </c>
      <c r="E19" s="128">
        <f>SUM('Plan Trésorerie Mensuel'!N47:Y53)</f>
        <v>206265.2319999999</v>
      </c>
      <c r="F19" s="128">
        <f>SUM('Plan Trésorerie Mensuel'!Z47:AK53)</f>
        <v>342769.23200000008</v>
      </c>
      <c r="G19" s="128">
        <f>SUM('Plan Trésorerie Mensuel'!AL47:AW53)</f>
        <v>342769.23200000008</v>
      </c>
      <c r="H19" s="128">
        <f>SUM('Plan Trésorerie Mensuel'!AX47:BI53)</f>
        <v>342769.23200000008</v>
      </c>
    </row>
    <row r="20" spans="1:8" ht="15" customHeight="1" x14ac:dyDescent="0.35">
      <c r="A20" s="38" t="s">
        <v>314</v>
      </c>
      <c r="B20" s="128">
        <v>0</v>
      </c>
      <c r="C20" s="128">
        <f>'Emprunt Bancaire'!D32</f>
        <v>5742.63</v>
      </c>
      <c r="D20" s="128">
        <f>'Emprunt Bancaire'!D33</f>
        <v>6941.91</v>
      </c>
      <c r="E20" s="128">
        <f>'Emprunt Bancaire'!D34</f>
        <v>4853.6400000000003</v>
      </c>
      <c r="F20" s="128">
        <f>'Emprunt Bancaire'!D35</f>
        <v>2669.42</v>
      </c>
      <c r="G20" s="128">
        <f>'Emprunt Bancaire'!D36</f>
        <v>387.22</v>
      </c>
      <c r="H20" s="128">
        <v>0</v>
      </c>
    </row>
    <row r="21" spans="1:8" ht="15" customHeight="1" x14ac:dyDescent="0.35">
      <c r="A21" s="60" t="s">
        <v>315</v>
      </c>
      <c r="B21" s="129">
        <f>SUM(B19:B20)</f>
        <v>8857.8558333333331</v>
      </c>
      <c r="C21" s="129">
        <f t="shared" ref="C21:H21" si="1">SUM(C19:C20)</f>
        <v>209442.45399999991</v>
      </c>
      <c r="D21" s="129">
        <f t="shared" si="1"/>
        <v>219680.14199999991</v>
      </c>
      <c r="E21" s="129">
        <f t="shared" si="1"/>
        <v>211118.87199999992</v>
      </c>
      <c r="F21" s="129">
        <f t="shared" si="1"/>
        <v>345438.65200000006</v>
      </c>
      <c r="G21" s="129">
        <f t="shared" si="1"/>
        <v>343156.45200000005</v>
      </c>
      <c r="H21" s="129">
        <f t="shared" si="1"/>
        <v>342769.23200000008</v>
      </c>
    </row>
    <row r="23" spans="1:8" ht="15" customHeight="1" x14ac:dyDescent="0.35">
      <c r="A23" s="455" t="s">
        <v>159</v>
      </c>
      <c r="B23" s="455"/>
      <c r="C23" s="455"/>
      <c r="D23" s="455"/>
      <c r="E23" s="455"/>
      <c r="F23" s="455"/>
      <c r="G23" s="455"/>
      <c r="H23" s="455"/>
    </row>
    <row r="24" spans="1:8" ht="15" customHeight="1" x14ac:dyDescent="0.35">
      <c r="A24" s="38" t="s">
        <v>316</v>
      </c>
      <c r="B24" s="128">
        <f t="shared" ref="B24:H24" si="2">B13*0.008</f>
        <v>0</v>
      </c>
      <c r="C24" s="128">
        <f t="shared" si="2"/>
        <v>1543.25</v>
      </c>
      <c r="D24" s="128">
        <f t="shared" si="2"/>
        <v>5144.1666666666679</v>
      </c>
      <c r="E24" s="128">
        <f t="shared" si="2"/>
        <v>11317.16666666667</v>
      </c>
      <c r="F24" s="128">
        <f t="shared" si="2"/>
        <v>16461.333333333332</v>
      </c>
      <c r="G24" s="128">
        <f t="shared" si="2"/>
        <v>20576.666666666668</v>
      </c>
      <c r="H24" s="128">
        <f t="shared" si="2"/>
        <v>21605.500000000004</v>
      </c>
    </row>
    <row r="25" spans="1:8" ht="15" customHeight="1" x14ac:dyDescent="0.35">
      <c r="A25" s="60" t="s">
        <v>317</v>
      </c>
      <c r="B25" s="129">
        <f t="shared" ref="B25:H25" si="3">B24</f>
        <v>0</v>
      </c>
      <c r="C25" s="129">
        <f t="shared" si="3"/>
        <v>1543.25</v>
      </c>
      <c r="D25" s="129">
        <f t="shared" si="3"/>
        <v>5144.1666666666679</v>
      </c>
      <c r="E25" s="129">
        <f t="shared" si="3"/>
        <v>11317.16666666667</v>
      </c>
      <c r="F25" s="129">
        <f t="shared" si="3"/>
        <v>16461.333333333332</v>
      </c>
      <c r="G25" s="129">
        <f t="shared" si="3"/>
        <v>20576.666666666668</v>
      </c>
      <c r="H25" s="129">
        <f t="shared" si="3"/>
        <v>21605.500000000004</v>
      </c>
    </row>
    <row r="27" spans="1:8" ht="15" customHeight="1" x14ac:dyDescent="0.35">
      <c r="A27" s="452" t="s">
        <v>318</v>
      </c>
      <c r="B27" s="452"/>
      <c r="C27" s="452"/>
      <c r="D27" s="452"/>
      <c r="E27" s="452"/>
      <c r="F27" s="452"/>
      <c r="G27" s="452"/>
      <c r="H27" s="452"/>
    </row>
    <row r="28" spans="1:8" ht="15" customHeight="1" x14ac:dyDescent="0.35">
      <c r="A28" s="60" t="s">
        <v>319</v>
      </c>
      <c r="B28" s="130">
        <f t="shared" ref="B28:H28" si="4">B16-B21-B25</f>
        <v>-8857.8558333333331</v>
      </c>
      <c r="C28" s="130">
        <f t="shared" si="4"/>
        <v>-128458.89149999993</v>
      </c>
      <c r="D28" s="130">
        <f t="shared" si="4"/>
        <v>50265.066333333365</v>
      </c>
      <c r="E28" s="130">
        <f t="shared" si="4"/>
        <v>382760.58633333328</v>
      </c>
      <c r="F28" s="130">
        <f t="shared" si="4"/>
        <v>518386.01466666645</v>
      </c>
      <c r="G28" s="130">
        <f t="shared" si="4"/>
        <v>736624.38133333309</v>
      </c>
      <c r="H28" s="130">
        <f t="shared" si="4"/>
        <v>864586.93466666667</v>
      </c>
    </row>
    <row r="29" spans="1:8" ht="14.25" customHeight="1" x14ac:dyDescent="0.35">
      <c r="A29" t="s">
        <v>320</v>
      </c>
      <c r="B29" s="84">
        <f>MIN(0,B28)</f>
        <v>-8857.8558333333331</v>
      </c>
      <c r="C29" s="84">
        <f t="shared" ref="C29:H29" si="5">MIN(0,B29+C28)</f>
        <v>-137316.74733333325</v>
      </c>
      <c r="D29" s="84">
        <f t="shared" si="5"/>
        <v>-87051.68099999988</v>
      </c>
      <c r="E29" s="84">
        <f t="shared" si="5"/>
        <v>0</v>
      </c>
      <c r="F29" s="84">
        <f t="shared" si="5"/>
        <v>0</v>
      </c>
      <c r="G29" s="84">
        <f t="shared" si="5"/>
        <v>0</v>
      </c>
      <c r="H29" s="84">
        <f t="shared" si="5"/>
        <v>0</v>
      </c>
    </row>
    <row r="30" spans="1:8" ht="15" customHeight="1" x14ac:dyDescent="0.35">
      <c r="A30" s="131" t="s">
        <v>321</v>
      </c>
      <c r="B30" s="79">
        <v>0</v>
      </c>
      <c r="C30" s="79">
        <v>0</v>
      </c>
      <c r="D30" s="79">
        <v>0</v>
      </c>
      <c r="E30" s="79">
        <v>0</v>
      </c>
      <c r="F30" s="79">
        <v>0</v>
      </c>
      <c r="G30" s="79">
        <v>6.25E-2</v>
      </c>
      <c r="H30" s="79">
        <v>0.125</v>
      </c>
    </row>
    <row r="31" spans="1:8" ht="15" customHeight="1" x14ac:dyDescent="0.35">
      <c r="A31" s="38" t="s">
        <v>322</v>
      </c>
      <c r="B31" s="128">
        <f>MAX(0,B28)*B30</f>
        <v>0</v>
      </c>
      <c r="C31" s="128">
        <f t="shared" ref="C31:H31" si="6">MAX(0,B29+C28)*C30</f>
        <v>0</v>
      </c>
      <c r="D31" s="128">
        <f t="shared" si="6"/>
        <v>0</v>
      </c>
      <c r="E31" s="128">
        <f t="shared" si="6"/>
        <v>0</v>
      </c>
      <c r="F31" s="128">
        <f t="shared" si="6"/>
        <v>0</v>
      </c>
      <c r="G31" s="128">
        <f t="shared" si="6"/>
        <v>46039.023833333318</v>
      </c>
      <c r="H31" s="128">
        <f t="shared" si="6"/>
        <v>108073.36683333333</v>
      </c>
    </row>
    <row r="32" spans="1:8" ht="14.25" customHeight="1" x14ac:dyDescent="0.35">
      <c r="A32" t="s">
        <v>323</v>
      </c>
    </row>
    <row r="33" spans="1:8" ht="15" customHeight="1" x14ac:dyDescent="0.35">
      <c r="A33" s="453" t="s">
        <v>324</v>
      </c>
      <c r="B33" s="453"/>
      <c r="C33" s="453"/>
      <c r="D33" s="453"/>
      <c r="E33" s="453"/>
      <c r="F33" s="453"/>
      <c r="G33" s="453"/>
      <c r="H33" s="453"/>
    </row>
    <row r="34" spans="1:8" ht="17.25" customHeight="1" x14ac:dyDescent="0.35">
      <c r="A34" s="132" t="s">
        <v>324</v>
      </c>
      <c r="B34" s="133">
        <f t="shared" ref="B34:H34" si="7">B28-B31</f>
        <v>-8857.8558333333331</v>
      </c>
      <c r="C34" s="133">
        <f t="shared" si="7"/>
        <v>-128458.89149999993</v>
      </c>
      <c r="D34" s="133">
        <f t="shared" si="7"/>
        <v>50265.066333333365</v>
      </c>
      <c r="E34" s="133">
        <f t="shared" si="7"/>
        <v>382760.58633333328</v>
      </c>
      <c r="F34" s="133">
        <f t="shared" si="7"/>
        <v>518386.01466666645</v>
      </c>
      <c r="G34" s="133">
        <f t="shared" si="7"/>
        <v>690585.35749999981</v>
      </c>
      <c r="H34" s="133">
        <f t="shared" si="7"/>
        <v>756513.56783333328</v>
      </c>
    </row>
    <row r="36" spans="1:8" ht="15" customHeight="1" x14ac:dyDescent="0.35">
      <c r="A36" s="454" t="s">
        <v>325</v>
      </c>
      <c r="B36" s="454"/>
      <c r="C36" s="454"/>
      <c r="D36" s="454"/>
      <c r="E36" s="454"/>
      <c r="F36" s="454"/>
      <c r="G36" s="454"/>
      <c r="H36" s="454"/>
    </row>
    <row r="37" spans="1:8" ht="15" customHeight="1" x14ac:dyDescent="0.35">
      <c r="A37" s="134" t="s">
        <v>326</v>
      </c>
    </row>
    <row r="38" spans="1:8" ht="15" customHeight="1" x14ac:dyDescent="0.35">
      <c r="A38" s="38" t="s">
        <v>480</v>
      </c>
      <c r="B38" s="135">
        <f t="shared" ref="B38" si="8">B12*$B$7</f>
        <v>0</v>
      </c>
      <c r="C38" s="135">
        <f>'Plan Trésorerie Mensuel'!N36</f>
        <v>15</v>
      </c>
      <c r="D38" s="135">
        <f>'Plan Trésorerie Mensuel'!M66</f>
        <v>67</v>
      </c>
      <c r="E38" s="135">
        <f>'Plan Trésorerie Mensuel'!Y66</f>
        <v>182</v>
      </c>
      <c r="F38" s="135">
        <f>'Plan Trésorerie Mensuel'!AK66</f>
        <v>247</v>
      </c>
      <c r="G38" s="135">
        <f>'Plan Trésorerie Mensuel'!AW66</f>
        <v>294</v>
      </c>
      <c r="H38" s="135">
        <f>'Plan Trésorerie Mensuel'!BI66</f>
        <v>299</v>
      </c>
    </row>
    <row r="39" spans="1:8" ht="15" customHeight="1" x14ac:dyDescent="0.35">
      <c r="A39" s="38" t="s">
        <v>327</v>
      </c>
      <c r="B39" s="128">
        <f t="shared" ref="B39:H39" si="9">B38*$B$6</f>
        <v>0</v>
      </c>
      <c r="C39" s="128">
        <f t="shared" si="9"/>
        <v>15731.887500000001</v>
      </c>
      <c r="D39" s="128">
        <f t="shared" si="9"/>
        <v>70269.097500000003</v>
      </c>
      <c r="E39" s="128">
        <f t="shared" si="9"/>
        <v>190880.23500000002</v>
      </c>
      <c r="F39" s="128">
        <f t="shared" si="9"/>
        <v>259051.7475</v>
      </c>
      <c r="G39" s="128">
        <f t="shared" si="9"/>
        <v>308344.995</v>
      </c>
      <c r="H39" s="128">
        <f t="shared" si="9"/>
        <v>313588.95750000002</v>
      </c>
    </row>
    <row r="40" spans="1:8" ht="15" customHeight="1" x14ac:dyDescent="0.35">
      <c r="A40" s="60" t="s">
        <v>328</v>
      </c>
      <c r="B40" s="136">
        <f>B39</f>
        <v>0</v>
      </c>
      <c r="C40" s="136">
        <f t="shared" ref="C40:H40" si="10">C39-B39</f>
        <v>15731.887500000001</v>
      </c>
      <c r="D40" s="136">
        <f t="shared" si="10"/>
        <v>54537.210000000006</v>
      </c>
      <c r="E40" s="136">
        <f t="shared" si="10"/>
        <v>120611.13750000001</v>
      </c>
      <c r="F40" s="136">
        <f t="shared" si="10"/>
        <v>68171.512499999983</v>
      </c>
      <c r="G40" s="136">
        <f t="shared" si="10"/>
        <v>49293.247499999998</v>
      </c>
      <c r="H40" s="136">
        <f t="shared" si="10"/>
        <v>5243.9625000000233</v>
      </c>
    </row>
    <row r="42" spans="1:8" ht="15" customHeight="1" x14ac:dyDescent="0.35">
      <c r="A42" s="292" t="s">
        <v>465</v>
      </c>
      <c r="B42" s="291">
        <v>2025</v>
      </c>
      <c r="C42" s="291">
        <v>2026</v>
      </c>
      <c r="D42" s="291">
        <v>2027</v>
      </c>
      <c r="E42" s="291">
        <v>2028</v>
      </c>
      <c r="F42" s="291">
        <v>2029</v>
      </c>
      <c r="G42" s="291">
        <v>2030</v>
      </c>
      <c r="H42" s="291">
        <v>2031</v>
      </c>
    </row>
    <row r="43" spans="1:8" ht="15" customHeight="1" x14ac:dyDescent="0.35">
      <c r="A43" s="38" t="s">
        <v>329</v>
      </c>
      <c r="B43" s="128">
        <f>'Plan Trésorerie Mensuel'!B7</f>
        <v>100000</v>
      </c>
      <c r="C43" s="128">
        <f>SUM('Plan Trésorerie Mensuel'!C7:N9)</f>
        <v>278000</v>
      </c>
      <c r="D43" s="128">
        <f>SUM('Plan Trésorerie Mensuel'!B42:M42)</f>
        <v>50000</v>
      </c>
      <c r="E43" s="128">
        <f>SUM('Plan Trésorerie Mensuel'!N42:Y42)</f>
        <v>0</v>
      </c>
      <c r="F43" s="128">
        <f>SUM('Plan Trésorerie Mensuel'!Z42:AK42)</f>
        <v>0</v>
      </c>
      <c r="G43" s="128">
        <v>0</v>
      </c>
      <c r="H43" s="128">
        <v>0</v>
      </c>
    </row>
    <row r="44" spans="1:8" ht="15" customHeight="1" x14ac:dyDescent="0.35">
      <c r="A44" s="290" t="s">
        <v>467</v>
      </c>
      <c r="B44" s="137">
        <f>'Plan Trésorerie Mensuel'!B13-'Plan Trésorerie Mensuel'!B28</f>
        <v>91142.144166666665</v>
      </c>
      <c r="C44" s="137">
        <f>SUM('Plan Trésorerie Mensuel'!C13:N13)-SUM('Plan Trésorerie Mensuel'!C28:N28)</f>
        <v>86150.291150000005</v>
      </c>
      <c r="D44" s="137">
        <f>SUM('Plan Trésorerie Mensuel'!B44:M44)-SUM('Plan Trésorerie Mensuel'!B58:M58)</f>
        <v>17945.839616666781</v>
      </c>
      <c r="E44" s="137">
        <f>SUM('Plan Trésorerie Mensuel'!N44:Y44)-SUM('Plan Trésorerie Mensuel'!N58:Y58)</f>
        <v>302097.41049166699</v>
      </c>
      <c r="F44" s="137">
        <f>SUM('Plan Trésorerie Mensuel'!Z44:AK44)-SUM('Plan Trésorerie Mensuel'!Z58:AK58)</f>
        <v>541000.57715833327</v>
      </c>
      <c r="G44" s="137">
        <f>SUM('Plan Trésorerie Mensuel'!AL44:AW44)-SUM('Plan Trésorerie Mensuel'!AL58:AW58)</f>
        <v>866326.69024166674</v>
      </c>
      <c r="H44" s="137">
        <f>SUM('Plan Trésorerie Mensuel'!AX44:BI44)-SUM('Plan Trésorerie Mensuel'!AX58:BI58)</f>
        <v>1069514.6263250008</v>
      </c>
    </row>
    <row r="45" spans="1:8" ht="17.25" customHeight="1" x14ac:dyDescent="0.35">
      <c r="A45" s="132" t="s">
        <v>272</v>
      </c>
      <c r="B45" s="138">
        <f>'Plan Trésorerie Mensuel'!B31</f>
        <v>91142.144166666665</v>
      </c>
      <c r="C45" s="138">
        <f>'Plan Trésorerie Mensuel'!N31</f>
        <v>177292.4353166667</v>
      </c>
      <c r="D45" s="138">
        <f>'Plan Trésorerie Mensuel'!M61</f>
        <v>195238.27493333336</v>
      </c>
      <c r="E45" s="138">
        <f>'Plan Trésorerie Mensuel'!Y61</f>
        <v>497335.68542500015</v>
      </c>
      <c r="F45" s="138">
        <f>'Plan Trésorerie Mensuel'!AK61</f>
        <v>1038336.2625833336</v>
      </c>
      <c r="G45" s="138">
        <f>'Plan Trésorerie Mensuel'!AW61</f>
        <v>1904662.9528250005</v>
      </c>
      <c r="H45" s="138">
        <f>'Plan Trésorerie Mensuel'!BI61</f>
        <v>2974177.5791500001</v>
      </c>
    </row>
  </sheetData>
  <mergeCells count="8">
    <mergeCell ref="A27:H27"/>
    <mergeCell ref="A33:H33"/>
    <mergeCell ref="A36:H36"/>
    <mergeCell ref="A1:H1"/>
    <mergeCell ref="A10:H10"/>
    <mergeCell ref="A15:H15"/>
    <mergeCell ref="A18:H18"/>
    <mergeCell ref="A23:H23"/>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A50B-DF3E-43D6-96AD-D6C9BD964EEB}">
  <sheetPr>
    <tabColor rgb="FF92D050"/>
  </sheetPr>
  <dimension ref="A1:H34"/>
  <sheetViews>
    <sheetView workbookViewId="0">
      <selection activeCell="J11" sqref="J11"/>
    </sheetView>
  </sheetViews>
  <sheetFormatPr baseColWidth="10" defaultRowHeight="14.5" x14ac:dyDescent="0.35"/>
  <cols>
    <col min="1" max="1" width="34.08984375" bestFit="1" customWidth="1"/>
    <col min="2" max="2" width="11.08984375" customWidth="1"/>
    <col min="3" max="3" width="13.54296875" customWidth="1"/>
    <col min="4" max="4" width="12.6328125" customWidth="1"/>
    <col min="5" max="5" width="12.26953125" customWidth="1"/>
    <col min="6" max="6" width="11.7265625" customWidth="1"/>
    <col min="7" max="7" width="11.6328125" customWidth="1"/>
    <col min="8" max="8" width="18.08984375" bestFit="1" customWidth="1"/>
  </cols>
  <sheetData>
    <row r="1" spans="1:8" ht="18" x14ac:dyDescent="0.4">
      <c r="A1" s="457" t="s">
        <v>517</v>
      </c>
      <c r="B1" s="457"/>
      <c r="C1" s="457"/>
      <c r="D1" s="457"/>
      <c r="E1" s="457"/>
      <c r="F1" s="457"/>
      <c r="G1" s="457"/>
      <c r="H1" s="457"/>
    </row>
    <row r="2" spans="1:8" x14ac:dyDescent="0.35">
      <c r="A2" s="458" t="s">
        <v>518</v>
      </c>
      <c r="B2" s="458"/>
      <c r="C2" s="458"/>
      <c r="D2" s="458"/>
      <c r="E2" s="458"/>
      <c r="F2" s="458"/>
      <c r="G2" s="458"/>
      <c r="H2" s="458"/>
    </row>
    <row r="4" spans="1:8" ht="15.5" x14ac:dyDescent="0.35">
      <c r="A4" s="459" t="s">
        <v>519</v>
      </c>
      <c r="B4" s="459"/>
      <c r="C4" s="459"/>
      <c r="D4" s="459"/>
      <c r="E4" s="459"/>
      <c r="F4" s="459"/>
      <c r="G4" s="459"/>
      <c r="H4" s="459"/>
    </row>
    <row r="5" spans="1:8" x14ac:dyDescent="0.35">
      <c r="A5" s="460" t="s">
        <v>520</v>
      </c>
      <c r="B5" s="460"/>
      <c r="C5" s="460"/>
      <c r="D5" s="460"/>
      <c r="E5" s="460"/>
      <c r="F5" s="460"/>
      <c r="G5" s="460"/>
      <c r="H5" s="460"/>
    </row>
    <row r="7" spans="1:8" x14ac:dyDescent="0.35">
      <c r="A7" s="360" t="s">
        <v>521</v>
      </c>
      <c r="B7" s="361" t="s">
        <v>220</v>
      </c>
      <c r="C7" s="361" t="s">
        <v>153</v>
      </c>
      <c r="D7" s="361" t="s">
        <v>154</v>
      </c>
      <c r="E7" s="361" t="s">
        <v>155</v>
      </c>
      <c r="F7" s="361" t="s">
        <v>156</v>
      </c>
      <c r="G7" s="361" t="s">
        <v>352</v>
      </c>
      <c r="H7" s="361" t="s">
        <v>353</v>
      </c>
    </row>
    <row r="8" spans="1:8" x14ac:dyDescent="0.35">
      <c r="A8" s="362" t="s">
        <v>522</v>
      </c>
      <c r="B8" s="363">
        <f>'Compte de Résultat'!B34</f>
        <v>-8857.8558333333331</v>
      </c>
      <c r="C8" s="363">
        <f>'Compte de Résultat'!C34</f>
        <v>-128458.89149999993</v>
      </c>
      <c r="D8" s="363">
        <f>'Compte de Résultat'!D34</f>
        <v>50265.066333333365</v>
      </c>
      <c r="E8" s="363">
        <f>'Compte de Résultat'!E34</f>
        <v>382760.58633333328</v>
      </c>
      <c r="F8" s="363">
        <f>'Compte de Résultat'!F34</f>
        <v>518386.01466666645</v>
      </c>
      <c r="G8" s="363">
        <f>'Compte de Résultat'!G34</f>
        <v>690585.35749999981</v>
      </c>
      <c r="H8" s="363">
        <f>'Compte de Résultat'!H34</f>
        <v>756513.56783333328</v>
      </c>
    </row>
    <row r="9" spans="1:8" x14ac:dyDescent="0.35">
      <c r="A9" s="362" t="s">
        <v>523</v>
      </c>
      <c r="B9" s="363">
        <v>0</v>
      </c>
      <c r="C9" s="363">
        <v>5000</v>
      </c>
      <c r="D9" s="363">
        <v>12000</v>
      </c>
      <c r="E9" s="363">
        <v>15000</v>
      </c>
      <c r="F9" s="363">
        <v>15000</v>
      </c>
      <c r="G9" s="363">
        <v>15000</v>
      </c>
      <c r="H9" s="363">
        <v>15000</v>
      </c>
    </row>
    <row r="10" spans="1:8" x14ac:dyDescent="0.35">
      <c r="A10" s="364" t="s">
        <v>524</v>
      </c>
      <c r="B10" s="365">
        <f t="shared" ref="B10:H10" si="0">B8+B9</f>
        <v>-8857.8558333333331</v>
      </c>
      <c r="C10" s="365">
        <f t="shared" si="0"/>
        <v>-123458.89149999993</v>
      </c>
      <c r="D10" s="365">
        <f t="shared" si="0"/>
        <v>62265.066333333365</v>
      </c>
      <c r="E10" s="365">
        <f>E8+E9</f>
        <v>397760.58633333328</v>
      </c>
      <c r="F10" s="365">
        <f t="shared" si="0"/>
        <v>533386.01466666651</v>
      </c>
      <c r="G10" s="365">
        <f t="shared" si="0"/>
        <v>705585.35749999981</v>
      </c>
      <c r="H10" s="365">
        <f t="shared" si="0"/>
        <v>771513.56783333328</v>
      </c>
    </row>
    <row r="11" spans="1:8" x14ac:dyDescent="0.35">
      <c r="A11" s="362" t="s">
        <v>525</v>
      </c>
      <c r="B11" s="366">
        <v>0</v>
      </c>
      <c r="C11" s="366">
        <f>SUM('[1]Emprunt Mensualité'!E13:F13)</f>
        <v>34478.879999999997</v>
      </c>
      <c r="D11" s="366">
        <f>SUM('[1]Emprunt Mensualité'!E27:F27)</f>
        <v>51718.310000000005</v>
      </c>
      <c r="E11" s="366">
        <f>SUM('[1]Emprunt Mensualité'!E41:F41)</f>
        <v>51718.299999999996</v>
      </c>
      <c r="F11" s="366">
        <f>SUM('[1]Emprunt Mensualité'!E55:F55)</f>
        <v>51718.32</v>
      </c>
      <c r="G11" s="366">
        <f>SUM('[1]Emprunt Mensualité'!E61:F61)</f>
        <v>17239.43</v>
      </c>
      <c r="H11" s="366">
        <v>0</v>
      </c>
    </row>
    <row r="12" spans="1:8" x14ac:dyDescent="0.35">
      <c r="A12" s="367" t="s">
        <v>526</v>
      </c>
      <c r="B12" s="387" t="str">
        <f t="shared" ref="B12:C12" si="1">IF(B11=0,"N/A",IF(B10&lt;0,"Négatif",FIXED(ROUND(B10/B11,1),1)&amp;"x"))</f>
        <v>N/A</v>
      </c>
      <c r="C12" s="384" t="str">
        <f t="shared" si="1"/>
        <v>Négatif</v>
      </c>
      <c r="D12" s="368" t="str">
        <f>IF(D11=0,"N/A",IF(D10&lt;0,"Négatif",FIXED(ROUND(D10/D11,1),1)&amp;"x"))</f>
        <v>1,2x</v>
      </c>
      <c r="E12" s="368" t="str">
        <f t="shared" ref="E12:H12" si="2">IF(E11=0,"N/A",IF(E10&lt;0,"Négatif",FIXED(ROUND(E10/E11,1),1)&amp;"x"))</f>
        <v>7,7x</v>
      </c>
      <c r="F12" s="368" t="str">
        <f t="shared" si="2"/>
        <v>10,3x</v>
      </c>
      <c r="G12" s="368" t="str">
        <f t="shared" si="2"/>
        <v>40,9x</v>
      </c>
      <c r="H12" s="368" t="str">
        <f t="shared" si="2"/>
        <v>N/A</v>
      </c>
    </row>
    <row r="14" spans="1:8" x14ac:dyDescent="0.35">
      <c r="A14" s="461" t="s">
        <v>527</v>
      </c>
      <c r="B14" s="461"/>
      <c r="C14" s="461"/>
      <c r="D14" s="461"/>
      <c r="E14" s="461"/>
      <c r="F14" s="461"/>
      <c r="G14" s="461"/>
      <c r="H14" s="461"/>
    </row>
    <row r="15" spans="1:8" x14ac:dyDescent="0.35">
      <c r="A15" s="456" t="s">
        <v>528</v>
      </c>
      <c r="B15" s="456"/>
      <c r="C15" s="456"/>
      <c r="D15" s="456"/>
      <c r="E15" s="456"/>
      <c r="F15" s="456"/>
      <c r="G15" s="456"/>
      <c r="H15" s="456"/>
    </row>
    <row r="17" spans="1:8" ht="15.5" x14ac:dyDescent="0.35">
      <c r="A17" s="459" t="s">
        <v>529</v>
      </c>
      <c r="B17" s="459"/>
      <c r="C17" s="459"/>
      <c r="D17" s="459"/>
      <c r="E17" s="459"/>
      <c r="F17" s="459"/>
      <c r="G17" s="459"/>
      <c r="H17" s="459"/>
    </row>
    <row r="18" spans="1:8" x14ac:dyDescent="0.35">
      <c r="A18" s="360" t="s">
        <v>530</v>
      </c>
      <c r="B18" s="361" t="s">
        <v>220</v>
      </c>
      <c r="C18" s="361" t="s">
        <v>153</v>
      </c>
      <c r="D18" s="361" t="s">
        <v>154</v>
      </c>
      <c r="E18" s="361" t="s">
        <v>155</v>
      </c>
      <c r="F18" s="361" t="s">
        <v>156</v>
      </c>
      <c r="G18" s="361" t="s">
        <v>352</v>
      </c>
      <c r="H18" s="361" t="s">
        <v>353</v>
      </c>
    </row>
    <row r="19" spans="1:8" x14ac:dyDescent="0.35">
      <c r="A19" s="362" t="s">
        <v>531</v>
      </c>
      <c r="B19" s="369">
        <f>IF('[1]Bilan Prévisionnel'!B24=0,"-",ROUND('[1]Bilan Prévisionnel'!B28/'[1]Bilan Prévisionnel'!B24,2))</f>
        <v>0.19</v>
      </c>
      <c r="C19" s="370">
        <f>IF('[1]Bilan Prévisionnel'!C24=0,"-",ROUND('[1]Bilan Prévisionnel'!C28/'[1]Bilan Prévisionnel'!C24,2))</f>
        <v>3.88</v>
      </c>
      <c r="D19" s="369">
        <f>IF('[1]Bilan Prévisionnel'!D24=0,"-",ROUND('[1]Bilan Prévisionnel'!D28/'[1]Bilan Prévisionnel'!D24,2))</f>
        <v>0.96</v>
      </c>
      <c r="E19" s="369">
        <f>IF('[1]Bilan Prévisionnel'!E24=0,"-",ROUND('[1]Bilan Prévisionnel'!E28/'[1]Bilan Prévisionnel'!E24,2))</f>
        <v>0.22</v>
      </c>
      <c r="F19" s="369">
        <f>IF('[1]Bilan Prévisionnel'!F24=0,"-",ROUND('[1]Bilan Prévisionnel'!F28/'[1]Bilan Prévisionnel'!F24,2))</f>
        <v>7.0000000000000007E-2</v>
      </c>
      <c r="G19" s="369">
        <f>IF('[1]Bilan Prévisionnel'!G24=0,"-",ROUND('[1]Bilan Prévisionnel'!G28/'[1]Bilan Prévisionnel'!G24,2))</f>
        <v>0.04</v>
      </c>
      <c r="H19" s="369">
        <f>IF('[1]Bilan Prévisionnel'!H24=0,"-",ROUND('[1]Bilan Prévisionnel'!H28/'[1]Bilan Prévisionnel'!H24,2))</f>
        <v>0.03</v>
      </c>
    </row>
    <row r="20" spans="1:8" x14ac:dyDescent="0.35">
      <c r="A20" s="362" t="s">
        <v>532</v>
      </c>
      <c r="B20" s="371">
        <f>IF('[1]Bilan Prévisionnel'!B30=0,"-",'[1]Bilan Prévisionnel'!B24/'[1]Bilan Prévisionnel'!B30)</f>
        <v>0.8397013396755445</v>
      </c>
      <c r="C20" s="372">
        <f>IF('[1]Bilan Prévisionnel'!C30=0,"-",'[1]Bilan Prévisionnel'!C24/'[1]Bilan Prévisionnel'!C30)</f>
        <v>0.20473823228803961</v>
      </c>
      <c r="D20" s="371">
        <f>IF('[1]Bilan Prévisionnel'!D30=0,"-",'[1]Bilan Prévisionnel'!D24/'[1]Bilan Prévisionnel'!D30)</f>
        <v>0.50906261697863353</v>
      </c>
      <c r="E20" s="371">
        <f>IF('[1]Bilan Prévisionnel'!E30=0,"-",'[1]Bilan Prévisionnel'!E24/'[1]Bilan Prévisionnel'!E30)</f>
        <v>0.8201726084458657</v>
      </c>
      <c r="F20" s="371">
        <f>IF('[1]Bilan Prévisionnel'!F30=0,"-",'[1]Bilan Prévisionnel'!F24/'[1]Bilan Prévisionnel'!F30)</f>
        <v>0.93646723093302131</v>
      </c>
      <c r="G20" s="371">
        <f>IF('[1]Bilan Prévisionnel'!G30=0,"-",'[1]Bilan Prévisionnel'!G24/'[1]Bilan Prévisionnel'!G30)</f>
        <v>0.96442121304861461</v>
      </c>
      <c r="H20" s="371">
        <f>IF('[1]Bilan Prévisionnel'!H30=0,"-",'[1]Bilan Prévisionnel'!H24/'[1]Bilan Prévisionnel'!H30)</f>
        <v>0.97431589814847053</v>
      </c>
    </row>
    <row r="21" spans="1:8" x14ac:dyDescent="0.35">
      <c r="A21" s="362" t="s">
        <v>588</v>
      </c>
      <c r="B21" s="373">
        <f>'[1]Compte de Résultat'!B45</f>
        <v>91142.144166666694</v>
      </c>
      <c r="C21" s="373">
        <f>'[1]Compte de Résultat'!C45</f>
        <v>177292.43531666699</v>
      </c>
      <c r="D21" s="373">
        <f>'[1]Compte de Résultat'!D45</f>
        <v>195238.27493333301</v>
      </c>
      <c r="E21" s="373">
        <f>'[1]Compte de Résultat'!E45</f>
        <v>497335.68542499997</v>
      </c>
      <c r="F21" s="373">
        <f>'[1]Compte de Résultat'!F45</f>
        <v>1038336.26258333</v>
      </c>
      <c r="G21" s="373">
        <f>'[1]Compte de Résultat'!G45</f>
        <v>1904662.952825</v>
      </c>
      <c r="H21" s="373">
        <f>'[1]Compte de Résultat'!H45</f>
        <v>2974177.5791500001</v>
      </c>
    </row>
    <row r="22" spans="1:8" x14ac:dyDescent="0.35">
      <c r="A22" s="362" t="s">
        <v>533</v>
      </c>
      <c r="B22" s="374" t="str">
        <f>IF('[1]Compte de Résultat'!B13=0,"N/A",'[1]Compte de Résultat'!B34/'[1]Compte de Résultat'!B13)</f>
        <v>N/A</v>
      </c>
      <c r="C22" s="372">
        <f>IF('[1]Compte de Résultat'!C13=0,"N/A",'[1]Compte de Résultat'!C34/'[1]Compte de Résultat'!C13)</f>
        <v>-0.69226062659970844</v>
      </c>
      <c r="D22" s="375">
        <f>IF('[1]Compte de Résultat'!D13=0,"N/A",'[1]Compte de Résultat'!D34/'[1]Compte de Résultat'!D13)</f>
        <v>8.4322251352664815E-2</v>
      </c>
      <c r="E22" s="371">
        <f>IF('[1]Compte de Résultat'!E13=0,"N/A",'[1]Compte de Résultat'!E34/'[1]Compte de Résultat'!E13)</f>
        <v>0.26879058727891297</v>
      </c>
      <c r="F22" s="371">
        <f>IF('[1]Compte de Résultat'!F13=0,"N/A",'[1]Compte de Résultat'!F34/'[1]Compte de Résultat'!F13)</f>
        <v>0.3170449923861976</v>
      </c>
      <c r="G22" s="371">
        <f>IF('[1]Compte de Résultat'!G13=0,"N/A",'[1]Compte de Résultat'!G34/'[1]Compte de Résultat'!G13)</f>
        <v>0.31732956074842089</v>
      </c>
      <c r="H22" s="371">
        <f>IF('[1]Compte de Résultat'!H13=0,"N/A",'[1]Compte de Résultat'!H34/'[1]Compte de Résultat'!H13)</f>
        <v>0.31502257996112154</v>
      </c>
    </row>
    <row r="23" spans="1:8" x14ac:dyDescent="0.35">
      <c r="A23" s="362" t="s">
        <v>534</v>
      </c>
      <c r="B23" s="376" t="s">
        <v>589</v>
      </c>
      <c r="C23" s="376" t="str">
        <f>IF('Bilan Prévisionnel'!C26&lt;=0,IF('Bilan Prévisionnel'!B26&gt;0,"Soldé ✓","—"),FIXED(ROUND('Bilan Prévisionnel'!C26/('Emprunt Bancaire'!$B$4/'Emprunt Bancaire'!$B$5),1),1)&amp;" ans")</f>
        <v>3,4 ans</v>
      </c>
      <c r="D23" s="376" t="str">
        <f>IF('Bilan Prévisionnel'!D26&lt;=0,IF('Bilan Prévisionnel'!C26&gt;0,"Soldé ✓","—"),FIXED(ROUND('Bilan Prévisionnel'!D26/('Emprunt Bancaire'!$B$4/'Emprunt Bancaire'!$B$5),1),1)&amp;" ans")</f>
        <v>2,4 ans</v>
      </c>
      <c r="E23" s="376" t="str">
        <f>IF('Bilan Prévisionnel'!E26&lt;=0,IF('Bilan Prévisionnel'!D26&gt;0,"Soldé ✓","—"),FIXED(ROUND('Bilan Prévisionnel'!E26/('Emprunt Bancaire'!$B$4/'Emprunt Bancaire'!$B$5),1),1)&amp;" ans")</f>
        <v>1,4 ans</v>
      </c>
      <c r="F23" s="376" t="str">
        <f>IF('Bilan Prévisionnel'!F26&lt;=0,IF('Bilan Prévisionnel'!E26&gt;0,"Soldé ✓","—"),FIXED(ROUND('Bilan Prévisionnel'!F26/('Emprunt Bancaire'!$B$4/'Emprunt Bancaire'!$B$5),1),1)&amp;" ans")</f>
        <v>0,4 ans</v>
      </c>
      <c r="G23" s="376" t="str">
        <f>IF('Bilan Prévisionnel'!G26&lt;=0,IF('Bilan Prévisionnel'!F26&gt;0,"Soldé ✓","—"),FIXED(ROUND('Bilan Prévisionnel'!G26/('Emprunt Bancaire'!$B$4/'Emprunt Bancaire'!$B$5),1),1)&amp;" ans")</f>
        <v>Soldé ✓</v>
      </c>
      <c r="H23" s="376" t="str">
        <f>IF('Bilan Prévisionnel'!H26&lt;=0,IF('Bilan Prévisionnel'!G26&gt;0,"Soldé ✓","—"),FIXED(ROUND('Bilan Prévisionnel'!H26/('Emprunt Bancaire'!$B$4/'Emprunt Bancaire'!$B$5),1),1)&amp;" ans")</f>
        <v>—</v>
      </c>
    </row>
    <row r="25" spans="1:8" x14ac:dyDescent="0.35">
      <c r="A25" s="462" t="s">
        <v>535</v>
      </c>
      <c r="B25" s="462"/>
      <c r="C25" s="462"/>
      <c r="D25" s="462"/>
      <c r="E25" s="462"/>
      <c r="F25" s="462"/>
      <c r="G25" s="462"/>
      <c r="H25" s="462"/>
    </row>
    <row r="27" spans="1:8" ht="15.5" x14ac:dyDescent="0.35">
      <c r="A27" s="463" t="s">
        <v>536</v>
      </c>
      <c r="B27" s="463"/>
      <c r="C27" s="463"/>
      <c r="D27" s="463"/>
      <c r="E27" s="463"/>
      <c r="F27" s="463"/>
      <c r="G27" s="463"/>
      <c r="H27" s="463"/>
    </row>
    <row r="28" spans="1:8" x14ac:dyDescent="0.35">
      <c r="A28" s="377" t="s">
        <v>521</v>
      </c>
      <c r="B28" s="378" t="s">
        <v>220</v>
      </c>
      <c r="C28" s="378" t="s">
        <v>153</v>
      </c>
      <c r="D28" s="378" t="s">
        <v>154</v>
      </c>
      <c r="E28" s="378" t="s">
        <v>155</v>
      </c>
      <c r="F28" s="378" t="s">
        <v>156</v>
      </c>
      <c r="G28" s="378" t="s">
        <v>352</v>
      </c>
      <c r="H28" s="378" t="s">
        <v>353</v>
      </c>
    </row>
    <row r="29" spans="1:8" x14ac:dyDescent="0.35">
      <c r="A29" s="362" t="s">
        <v>537</v>
      </c>
      <c r="B29" s="379">
        <f>('[1]Compte de Résultat'!B16*0.7-'[1]Compte de Résultat'!B21-'[1]Compte de Résultat'!B25*0.7)-MAX(0,'[1]Compte de Résultat'!B16*0.7-'[1]Compte de Résultat'!B21-'[1]Compte de Résultat'!B25*0.7)*'[1]Compte de Résultat'!B30</f>
        <v>-8857.8558333333294</v>
      </c>
      <c r="C29" s="379">
        <f>('[1]Compte de Résultat'!C16*0.7-'[1]Compte de Résultat'!C21-'[1]Compte de Résultat'!C25*0.7)-MAX(0,'[1]Compte de Résultat'!C16*0.7-'[1]Compte de Résultat'!C21-'[1]Compte de Résultat'!C25*0.7)*'[1]Compte de Résultat'!C30</f>
        <v>-157836.47025000001</v>
      </c>
      <c r="D29" s="379">
        <f>('[1]Compte de Résultat'!D16*0.7-'[1]Compte de Résultat'!D21-'[1]Compte de Résultat'!D25*0.7)-MAX(0,'[1]Compte de Résultat'!D16*0.7-'[1]Compte de Résultat'!D21-'[1]Compte de Résultat'!D25*0.7)*'[1]Compte de Résultat'!D30</f>
        <v>-26762.598166666674</v>
      </c>
      <c r="E29" s="379">
        <f>('[1]Compte de Résultat'!E16*0.7-'[1]Compte de Résultat'!E21-'[1]Compte de Résultat'!E25*0.7)-MAX(0,'[1]Compte de Résultat'!E16*0.7-'[1]Compte de Résultat'!E21-'[1]Compte de Résultat'!E25*0.7)*'[1]Compte de Résultat'!E30</f>
        <v>202079.64683333327</v>
      </c>
      <c r="F29" s="379">
        <f>('[1]Compte de Résultat'!F16*0.7-'[1]Compte de Résultat'!F21-'[1]Compte de Résultat'!F25*0.7)-MAX(0,'[1]Compte de Résultat'!F16*0.7-'[1]Compte de Résultat'!F21-'[1]Compte de Résultat'!F25*0.7)*'[1]Compte de Résultat'!F30</f>
        <v>393225.51266666671</v>
      </c>
      <c r="G29" s="379">
        <f>('[1]Compte de Résultat'!G16*0.7-'[1]Compte de Résultat'!G21-'[1]Compte de Résultat'!G25*0.7)-MAX(0,'[1]Compte de Résultat'!G16*0.7-'[1]Compte de Résultat'!G21-'[1]Compte de Résultat'!G25*0.7)*'[1]Compte de Résultat'!G30</f>
        <v>512509.71499999991</v>
      </c>
      <c r="H29" s="379">
        <f>('[1]Compte de Résultat'!H16*0.7-'[1]Compte de Résultat'!H21-'[1]Compte de Résultat'!H25*0.7)-MAX(0,'[1]Compte de Résultat'!H16*0.7-'[1]Compte de Résultat'!H21-'[1]Compte de Résultat'!H25*0.7)*'[1]Compte de Résultat'!H30</f>
        <v>512379.6666041665</v>
      </c>
    </row>
    <row r="30" spans="1:8" x14ac:dyDescent="0.35">
      <c r="A30" s="380" t="s">
        <v>538</v>
      </c>
      <c r="B30" s="381">
        <f t="shared" ref="B30:H30" si="3">B29+B9</f>
        <v>-8857.8558333333294</v>
      </c>
      <c r="C30" s="381">
        <f t="shared" si="3"/>
        <v>-152836.47025000001</v>
      </c>
      <c r="D30" s="381">
        <f t="shared" si="3"/>
        <v>-14762.598166666674</v>
      </c>
      <c r="E30" s="381">
        <f t="shared" si="3"/>
        <v>217079.64683333327</v>
      </c>
      <c r="F30" s="381">
        <f t="shared" si="3"/>
        <v>408225.51266666671</v>
      </c>
      <c r="G30" s="381">
        <f t="shared" si="3"/>
        <v>527509.71499999985</v>
      </c>
      <c r="H30" s="381">
        <f t="shared" si="3"/>
        <v>527379.6666041665</v>
      </c>
    </row>
    <row r="31" spans="1:8" x14ac:dyDescent="0.35">
      <c r="A31" s="382" t="s">
        <v>539</v>
      </c>
      <c r="B31" s="386" t="str">
        <f t="shared" ref="B31:C31" si="4">IF(B11=0,"N/A",IF(B30&lt;0,"Négatif",FIXED(ROUND(B30/B11,1),1)&amp;"x"))</f>
        <v>N/A</v>
      </c>
      <c r="C31" s="383" t="str">
        <f t="shared" si="4"/>
        <v>Négatif</v>
      </c>
      <c r="D31" s="383" t="str">
        <f>IF(D11=0,"N/A",IF(D30&lt;0,"Négatif",FIXED(ROUND(D30/D11,1),1)&amp;"x"))</f>
        <v>Négatif</v>
      </c>
      <c r="E31" s="385" t="str">
        <f t="shared" ref="E31:H31" si="5">IF(E11=0,"N/A",IF(E30&lt;0,"Négatif",FIXED(ROUND(E30/E11,1),1)&amp;"x"))</f>
        <v>4,2x</v>
      </c>
      <c r="F31" s="385" t="str">
        <f t="shared" si="5"/>
        <v>7,9x</v>
      </c>
      <c r="G31" s="385" t="str">
        <f t="shared" si="5"/>
        <v>30,6x</v>
      </c>
      <c r="H31" s="385" t="str">
        <f t="shared" si="5"/>
        <v>N/A</v>
      </c>
    </row>
    <row r="33" spans="1:8" x14ac:dyDescent="0.35">
      <c r="A33" s="464" t="s">
        <v>540</v>
      </c>
      <c r="B33" s="464"/>
      <c r="C33" s="464"/>
      <c r="D33" s="464"/>
      <c r="E33" s="464"/>
      <c r="F33" s="464"/>
      <c r="G33" s="464"/>
      <c r="H33" s="464"/>
    </row>
    <row r="34" spans="1:8" x14ac:dyDescent="0.35">
      <c r="A34" s="456" t="s">
        <v>541</v>
      </c>
      <c r="B34" s="456"/>
      <c r="C34" s="456"/>
      <c r="D34" s="456"/>
      <c r="E34" s="456"/>
      <c r="F34" s="456"/>
      <c r="G34" s="456"/>
      <c r="H34" s="456"/>
    </row>
  </sheetData>
  <mergeCells count="11">
    <mergeCell ref="A17:H17"/>
    <mergeCell ref="A25:H25"/>
    <mergeCell ref="A27:H27"/>
    <mergeCell ref="A33:H33"/>
    <mergeCell ref="A34:H34"/>
    <mergeCell ref="A15:H15"/>
    <mergeCell ref="A1:H1"/>
    <mergeCell ref="A2:H2"/>
    <mergeCell ref="A4:H4"/>
    <mergeCell ref="A5:H5"/>
    <mergeCell ref="A14:H14"/>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I55"/>
  <sheetViews>
    <sheetView topLeftCell="A16" zoomScaleNormal="100" workbookViewId="0">
      <selection activeCell="N31" sqref="N31"/>
    </sheetView>
  </sheetViews>
  <sheetFormatPr baseColWidth="10" defaultColWidth="8.90625" defaultRowHeight="14.5" x14ac:dyDescent="0.35"/>
  <cols>
    <col min="1" max="1" width="48" customWidth="1"/>
    <col min="2" max="8" width="14" customWidth="1"/>
  </cols>
  <sheetData>
    <row r="1" spans="1:9" ht="18" customHeight="1" x14ac:dyDescent="0.45">
      <c r="A1" s="465" t="s">
        <v>330</v>
      </c>
      <c r="B1" s="465"/>
      <c r="C1" s="465"/>
      <c r="D1" s="465"/>
      <c r="E1" s="465"/>
      <c r="F1" s="465"/>
      <c r="G1" s="465"/>
      <c r="H1" s="465"/>
    </row>
    <row r="2" spans="1:9" ht="14.25" customHeight="1" x14ac:dyDescent="0.35">
      <c r="A2" s="451" t="s">
        <v>331</v>
      </c>
      <c r="B2" s="451"/>
      <c r="C2" s="451"/>
      <c r="D2" s="451"/>
      <c r="E2" s="451"/>
      <c r="F2" s="451"/>
      <c r="G2" s="451"/>
      <c r="H2" s="451"/>
    </row>
    <row r="3" spans="1:9" ht="56" customHeight="1" x14ac:dyDescent="0.35">
      <c r="A3" s="466" t="s">
        <v>481</v>
      </c>
      <c r="B3" s="466"/>
      <c r="C3" s="466"/>
      <c r="D3" s="466"/>
      <c r="E3" s="466"/>
      <c r="F3" s="466"/>
      <c r="G3" s="466"/>
      <c r="H3" s="466"/>
    </row>
    <row r="4" spans="1:9" ht="14.25" customHeight="1" x14ac:dyDescent="0.35">
      <c r="A4" s="139"/>
      <c r="B4" s="140">
        <v>2025</v>
      </c>
      <c r="C4" s="140">
        <v>2026</v>
      </c>
      <c r="D4" s="140">
        <v>2027</v>
      </c>
      <c r="E4" s="140">
        <v>2028</v>
      </c>
      <c r="F4" s="140">
        <v>2029</v>
      </c>
      <c r="G4" s="140">
        <v>2030</v>
      </c>
      <c r="H4" s="140">
        <v>2031</v>
      </c>
    </row>
    <row r="6" spans="1:9" ht="14.25" customHeight="1" x14ac:dyDescent="0.35">
      <c r="A6" s="141" t="s">
        <v>332</v>
      </c>
      <c r="B6" s="142"/>
      <c r="C6" s="142"/>
      <c r="D6" s="142"/>
      <c r="E6" s="142"/>
      <c r="F6" s="142"/>
      <c r="G6" s="142"/>
      <c r="H6" s="142"/>
    </row>
    <row r="7" spans="1:9" ht="14.25" customHeight="1" x14ac:dyDescent="0.35">
      <c r="A7" t="s">
        <v>333</v>
      </c>
      <c r="B7" s="143">
        <v>0</v>
      </c>
      <c r="C7" s="144">
        <v>36113</v>
      </c>
      <c r="D7" s="144">
        <v>54169</v>
      </c>
      <c r="E7" s="144">
        <v>54169</v>
      </c>
      <c r="F7" s="144">
        <v>54169</v>
      </c>
      <c r="G7" s="144">
        <v>54169</v>
      </c>
      <c r="H7" s="144">
        <v>54169</v>
      </c>
      <c r="I7" s="144"/>
    </row>
    <row r="8" spans="1:9" ht="14.25" customHeight="1" x14ac:dyDescent="0.35">
      <c r="A8" t="s">
        <v>334</v>
      </c>
      <c r="B8" s="143">
        <v>0</v>
      </c>
      <c r="C8" s="144">
        <v>3333</v>
      </c>
      <c r="D8" s="144">
        <v>5000</v>
      </c>
      <c r="E8" s="144">
        <v>5000</v>
      </c>
      <c r="F8" s="144">
        <v>5000</v>
      </c>
      <c r="G8" s="144">
        <v>5000</v>
      </c>
      <c r="H8" s="144">
        <v>5000</v>
      </c>
    </row>
    <row r="9" spans="1:9" ht="14.25" customHeight="1" x14ac:dyDescent="0.35">
      <c r="A9" s="145" t="s">
        <v>335</v>
      </c>
      <c r="B9" s="146">
        <f t="shared" ref="B9:H9" si="0">SUM(B7:B8)</f>
        <v>0</v>
      </c>
      <c r="C9" s="146">
        <f t="shared" si="0"/>
        <v>39446</v>
      </c>
      <c r="D9" s="146">
        <f t="shared" si="0"/>
        <v>59169</v>
      </c>
      <c r="E9" s="146">
        <f t="shared" si="0"/>
        <v>59169</v>
      </c>
      <c r="F9" s="146">
        <f t="shared" si="0"/>
        <v>59169</v>
      </c>
      <c r="G9" s="146">
        <f t="shared" si="0"/>
        <v>59169</v>
      </c>
      <c r="H9" s="146">
        <f t="shared" si="0"/>
        <v>59169</v>
      </c>
    </row>
    <row r="11" spans="1:9" ht="14.25" customHeight="1" x14ac:dyDescent="0.35">
      <c r="A11" t="s">
        <v>468</v>
      </c>
      <c r="B11" s="143">
        <v>0</v>
      </c>
      <c r="C11" s="143">
        <f>'Compte de Résultat'!C38*'Marges Produits'!$E$49</f>
        <v>15731.887500000001</v>
      </c>
      <c r="D11" s="143">
        <f>'Compte de Résultat'!D38*'Marges Produits'!$E$49</f>
        <v>70269.097500000003</v>
      </c>
      <c r="E11" s="143">
        <f>'Compte de Résultat'!E38*'Marges Produits'!$E$49</f>
        <v>190880.23500000002</v>
      </c>
      <c r="F11" s="143">
        <f>'Compte de Résultat'!F38*'Marges Produits'!$E$49</f>
        <v>259051.7475</v>
      </c>
      <c r="G11" s="143">
        <f>'Compte de Résultat'!G38*'Marges Produits'!$E$49</f>
        <v>308344.995</v>
      </c>
      <c r="H11" s="143">
        <f>'Compte de Résultat'!H38*'Marges Produits'!$E$49</f>
        <v>313588.95750000002</v>
      </c>
    </row>
    <row r="12" spans="1:9" ht="14.25" customHeight="1" x14ac:dyDescent="0.35">
      <c r="A12" t="s">
        <v>336</v>
      </c>
      <c r="B12" s="143">
        <v>0</v>
      </c>
      <c r="C12" s="143">
        <v>0</v>
      </c>
      <c r="D12" s="143">
        <v>0</v>
      </c>
      <c r="E12" s="143">
        <v>0</v>
      </c>
      <c r="F12" s="143">
        <v>0</v>
      </c>
      <c r="G12" s="143">
        <v>0</v>
      </c>
      <c r="H12" s="143">
        <v>0</v>
      </c>
    </row>
    <row r="13" spans="1:9" ht="14.25" customHeight="1" x14ac:dyDescent="0.35">
      <c r="A13" t="s">
        <v>337</v>
      </c>
      <c r="B13" s="143">
        <f t="shared" ref="B13:H13" si="1">B24+B26+B27-B9-B11-B12</f>
        <v>108541.14416666667</v>
      </c>
      <c r="C13" s="143">
        <f t="shared" si="1"/>
        <v>177515.95891666674</v>
      </c>
      <c r="D13" s="143">
        <f t="shared" si="1"/>
        <v>167961.90400000013</v>
      </c>
      <c r="E13" s="143">
        <f t="shared" si="1"/>
        <v>401098.65783333348</v>
      </c>
      <c r="F13" s="143">
        <f t="shared" si="1"/>
        <v>815162.19249999989</v>
      </c>
      <c r="G13" s="143">
        <f t="shared" si="1"/>
        <v>1449935.5324999997</v>
      </c>
      <c r="H13" s="143">
        <f t="shared" si="1"/>
        <v>2203437.2003333331</v>
      </c>
    </row>
    <row r="14" spans="1:9" ht="14.25" customHeight="1" x14ac:dyDescent="0.35">
      <c r="A14" s="145" t="s">
        <v>338</v>
      </c>
      <c r="B14" s="146">
        <f t="shared" ref="B14:H14" si="2">SUM(B11:B13)</f>
        <v>108541.14416666667</v>
      </c>
      <c r="C14" s="146">
        <f t="shared" si="2"/>
        <v>193247.84641666675</v>
      </c>
      <c r="D14" s="146">
        <f t="shared" si="2"/>
        <v>238231.00150000013</v>
      </c>
      <c r="E14" s="146">
        <f t="shared" si="2"/>
        <v>591978.89283333346</v>
      </c>
      <c r="F14" s="146">
        <f t="shared" si="2"/>
        <v>1074213.94</v>
      </c>
      <c r="G14" s="146">
        <f t="shared" si="2"/>
        <v>1758280.5274999999</v>
      </c>
      <c r="H14" s="146">
        <f t="shared" si="2"/>
        <v>2517026.1578333331</v>
      </c>
    </row>
    <row r="16" spans="1:9" ht="15" customHeight="1" x14ac:dyDescent="0.35">
      <c r="A16" s="147" t="s">
        <v>339</v>
      </c>
      <c r="B16" s="148">
        <f t="shared" ref="B16:H16" si="3">B9+B14</f>
        <v>108541.14416666667</v>
      </c>
      <c r="C16" s="148">
        <f t="shared" si="3"/>
        <v>232693.84641666675</v>
      </c>
      <c r="D16" s="148">
        <f t="shared" si="3"/>
        <v>297400.00150000013</v>
      </c>
      <c r="E16" s="148">
        <f t="shared" si="3"/>
        <v>651147.89283333346</v>
      </c>
      <c r="F16" s="148">
        <f t="shared" si="3"/>
        <v>1133382.94</v>
      </c>
      <c r="G16" s="148">
        <f t="shared" si="3"/>
        <v>1817449.5274999999</v>
      </c>
      <c r="H16" s="148">
        <f t="shared" si="3"/>
        <v>2576195.1578333331</v>
      </c>
    </row>
    <row r="18" spans="1:8" ht="14.25" customHeight="1" x14ac:dyDescent="0.35">
      <c r="A18" s="141" t="s">
        <v>340</v>
      </c>
      <c r="B18" s="142"/>
      <c r="C18" s="142"/>
      <c r="D18" s="142"/>
      <c r="E18" s="142"/>
      <c r="F18" s="142"/>
      <c r="G18" s="142"/>
      <c r="H18" s="142"/>
    </row>
    <row r="19" spans="1:8" ht="14.25" customHeight="1" x14ac:dyDescent="0.35">
      <c r="A19" t="s">
        <v>8</v>
      </c>
      <c r="B19" s="143">
        <v>100000</v>
      </c>
      <c r="C19" s="143">
        <v>100000</v>
      </c>
      <c r="D19" s="143">
        <v>100000</v>
      </c>
      <c r="E19" s="143">
        <v>100000</v>
      </c>
      <c r="F19" s="143">
        <v>100000</v>
      </c>
      <c r="G19" s="143">
        <v>100000</v>
      </c>
      <c r="H19" s="143">
        <v>100000</v>
      </c>
    </row>
    <row r="20" spans="1:8" ht="14.25" customHeight="1" x14ac:dyDescent="0.35">
      <c r="A20" t="s">
        <v>226</v>
      </c>
      <c r="B20" s="143">
        <v>0</v>
      </c>
      <c r="C20" s="143">
        <v>89000</v>
      </c>
      <c r="D20" s="143">
        <v>89000</v>
      </c>
      <c r="E20" s="143">
        <v>89000</v>
      </c>
      <c r="F20" s="143">
        <v>89000</v>
      </c>
      <c r="G20" s="143">
        <v>89000</v>
      </c>
      <c r="H20" s="143">
        <v>89000</v>
      </c>
    </row>
    <row r="21" spans="1:8" ht="14.25" customHeight="1" x14ac:dyDescent="0.35">
      <c r="A21" t="s">
        <v>341</v>
      </c>
      <c r="B21" s="143">
        <v>0</v>
      </c>
      <c r="C21" s="143">
        <v>0</v>
      </c>
      <c r="D21" s="143">
        <v>50000</v>
      </c>
      <c r="E21" s="143">
        <v>50000</v>
      </c>
      <c r="F21" s="143">
        <v>50000</v>
      </c>
      <c r="G21" s="143">
        <v>50000</v>
      </c>
      <c r="H21" s="143">
        <v>50000</v>
      </c>
    </row>
    <row r="22" spans="1:8" ht="14.25" customHeight="1" x14ac:dyDescent="0.35">
      <c r="A22" t="s">
        <v>342</v>
      </c>
      <c r="B22" s="143">
        <f>'Compte de Résultat'!B34</f>
        <v>-8857.8558333333331</v>
      </c>
      <c r="C22" s="143">
        <f>'Compte de Résultat'!C34</f>
        <v>-128458.89149999993</v>
      </c>
      <c r="D22" s="143">
        <f>'Compte de Résultat'!D34</f>
        <v>50265.066333333365</v>
      </c>
      <c r="E22" s="143">
        <f>'Compte de Résultat'!E34</f>
        <v>382760.58633333328</v>
      </c>
      <c r="F22" s="143">
        <f>'Compte de Résultat'!F34</f>
        <v>518386.01466666645</v>
      </c>
      <c r="G22" s="143">
        <f>'Compte de Résultat'!G34</f>
        <v>690585.35749999981</v>
      </c>
      <c r="H22" s="143">
        <f>'Compte de Résultat'!H34</f>
        <v>756513.56783333328</v>
      </c>
    </row>
    <row r="23" spans="1:8" ht="14.25" customHeight="1" x14ac:dyDescent="0.35">
      <c r="A23" t="s">
        <v>343</v>
      </c>
      <c r="B23" s="143">
        <v>0</v>
      </c>
      <c r="C23" s="143">
        <f t="shared" ref="C23:H23" si="4">B23+B22</f>
        <v>-8857.8558333333331</v>
      </c>
      <c r="D23" s="143">
        <f t="shared" si="4"/>
        <v>-137316.74733333325</v>
      </c>
      <c r="E23" s="143">
        <f t="shared" si="4"/>
        <v>-87051.68099999988</v>
      </c>
      <c r="F23" s="143">
        <f t="shared" si="4"/>
        <v>295708.90533333342</v>
      </c>
      <c r="G23" s="143">
        <f t="shared" si="4"/>
        <v>814094.91999999993</v>
      </c>
      <c r="H23" s="143">
        <f t="shared" si="4"/>
        <v>1504680.2774999999</v>
      </c>
    </row>
    <row r="24" spans="1:8" ht="14.25" customHeight="1" x14ac:dyDescent="0.35">
      <c r="A24" s="145" t="s">
        <v>344</v>
      </c>
      <c r="B24" s="146">
        <f t="shared" ref="B24:H24" si="5">B19+B25+B20+B21+B22+B23</f>
        <v>91142.144166666665</v>
      </c>
      <c r="C24" s="146">
        <f t="shared" si="5"/>
        <v>51683.25266666674</v>
      </c>
      <c r="D24" s="146">
        <f t="shared" si="5"/>
        <v>151948.31900000013</v>
      </c>
      <c r="E24" s="146">
        <f t="shared" si="5"/>
        <v>534708.90533333342</v>
      </c>
      <c r="F24" s="146">
        <f t="shared" si="5"/>
        <v>1053094.92</v>
      </c>
      <c r="G24" s="146">
        <f t="shared" si="5"/>
        <v>1743680.2774999999</v>
      </c>
      <c r="H24" s="146">
        <f t="shared" si="5"/>
        <v>2500193.8453333331</v>
      </c>
    </row>
    <row r="25" spans="1:8" ht="14.25" customHeight="1" x14ac:dyDescent="0.35">
      <c r="A25" s="85" t="s">
        <v>345</v>
      </c>
      <c r="B25">
        <v>0</v>
      </c>
      <c r="C25">
        <v>0</v>
      </c>
      <c r="D25">
        <v>0</v>
      </c>
      <c r="E25">
        <v>0</v>
      </c>
      <c r="F25">
        <v>0</v>
      </c>
      <c r="G25">
        <v>0</v>
      </c>
      <c r="H25">
        <v>0</v>
      </c>
    </row>
    <row r="26" spans="1:8" ht="14.25" customHeight="1" x14ac:dyDescent="0.35">
      <c r="A26" t="s">
        <v>346</v>
      </c>
      <c r="B26" s="143">
        <v>0</v>
      </c>
      <c r="C26" s="143">
        <f>'Emprunt Bancaire'!D47</f>
        <v>159810</v>
      </c>
      <c r="D26" s="143">
        <f>'Emprunt Mensualité'!I26</f>
        <v>114353.37</v>
      </c>
      <c r="E26" s="143">
        <f>'Emprunt Mensualité'!I40</f>
        <v>66808.3</v>
      </c>
      <c r="F26" s="143">
        <f>'Emprunt Mensualité'!I54</f>
        <v>17079.02</v>
      </c>
      <c r="G26" s="143">
        <f>'Emprunt Mensualité'!I60</f>
        <v>0</v>
      </c>
      <c r="H26" s="143">
        <v>0</v>
      </c>
    </row>
    <row r="27" spans="1:8" ht="14.25" customHeight="1" x14ac:dyDescent="0.35">
      <c r="A27" t="s">
        <v>347</v>
      </c>
      <c r="B27" s="143">
        <f t="shared" ref="B27" si="6">B44+B45+B46</f>
        <v>17399</v>
      </c>
      <c r="C27" s="143">
        <f>C44+C45+C46</f>
        <v>21200.59375</v>
      </c>
      <c r="D27" s="143">
        <f t="shared" ref="D27:H27" si="7">D44+D45+D46</f>
        <v>31098.3125</v>
      </c>
      <c r="E27" s="143">
        <f t="shared" si="7"/>
        <v>49630.6875</v>
      </c>
      <c r="F27" s="143">
        <f t="shared" si="7"/>
        <v>63209</v>
      </c>
      <c r="G27" s="143">
        <f t="shared" si="7"/>
        <v>73769.25</v>
      </c>
      <c r="H27" s="143">
        <f t="shared" si="7"/>
        <v>76001.3125</v>
      </c>
    </row>
    <row r="28" spans="1:8" ht="14.25" customHeight="1" x14ac:dyDescent="0.35">
      <c r="A28" s="145" t="s">
        <v>348</v>
      </c>
      <c r="B28" s="146">
        <f t="shared" ref="B28:H28" si="8">B26+B27</f>
        <v>17399</v>
      </c>
      <c r="C28" s="146">
        <f t="shared" si="8"/>
        <v>181010.59375</v>
      </c>
      <c r="D28" s="146">
        <f t="shared" si="8"/>
        <v>145451.6825</v>
      </c>
      <c r="E28" s="146">
        <f t="shared" si="8"/>
        <v>116438.9875</v>
      </c>
      <c r="F28" s="146">
        <f t="shared" si="8"/>
        <v>80288.02</v>
      </c>
      <c r="G28" s="146">
        <f t="shared" si="8"/>
        <v>73769.25</v>
      </c>
      <c r="H28" s="146">
        <f t="shared" si="8"/>
        <v>76001.3125</v>
      </c>
    </row>
    <row r="30" spans="1:8" ht="15" customHeight="1" x14ac:dyDescent="0.35">
      <c r="A30" s="147" t="s">
        <v>349</v>
      </c>
      <c r="B30" s="148">
        <f t="shared" ref="B30:H30" si="9">B24+B28</f>
        <v>108541.14416666667</v>
      </c>
      <c r="C30" s="148">
        <f t="shared" si="9"/>
        <v>232693.84641666675</v>
      </c>
      <c r="D30" s="148">
        <f t="shared" si="9"/>
        <v>297400.00150000013</v>
      </c>
      <c r="E30" s="148">
        <f t="shared" si="9"/>
        <v>651147.89283333346</v>
      </c>
      <c r="F30" s="148">
        <f t="shared" si="9"/>
        <v>1133382.94</v>
      </c>
      <c r="G30" s="148">
        <f t="shared" si="9"/>
        <v>1817449.5274999999</v>
      </c>
      <c r="H30" s="148">
        <f t="shared" si="9"/>
        <v>2576195.1578333331</v>
      </c>
    </row>
    <row r="32" spans="1:8" ht="14.25" customHeight="1" x14ac:dyDescent="0.35">
      <c r="A32" s="145"/>
      <c r="B32" s="149">
        <v>0</v>
      </c>
      <c r="C32" s="149">
        <v>0</v>
      </c>
      <c r="D32" s="149">
        <v>0</v>
      </c>
      <c r="E32" s="149">
        <v>0</v>
      </c>
      <c r="F32" s="149">
        <v>0</v>
      </c>
      <c r="G32" s="149">
        <v>0</v>
      </c>
      <c r="H32" s="149">
        <v>0</v>
      </c>
    </row>
    <row r="33" spans="1:8" ht="14.25" customHeight="1" x14ac:dyDescent="0.35">
      <c r="A33" t="s">
        <v>350</v>
      </c>
    </row>
    <row r="34" spans="1:8" ht="14.25" customHeight="1" x14ac:dyDescent="0.35">
      <c r="A34" s="150" t="s">
        <v>351</v>
      </c>
      <c r="B34" s="139"/>
      <c r="C34" s="139"/>
      <c r="D34" s="139"/>
      <c r="E34" s="139"/>
      <c r="F34" s="139"/>
      <c r="G34" s="139"/>
      <c r="H34" s="139"/>
    </row>
    <row r="35" spans="1:8" ht="14.25" customHeight="1" x14ac:dyDescent="0.35">
      <c r="A35" t="s">
        <v>140</v>
      </c>
      <c r="B35" s="151" t="s">
        <v>220</v>
      </c>
      <c r="C35" s="151" t="s">
        <v>153</v>
      </c>
      <c r="D35" s="151" t="s">
        <v>154</v>
      </c>
      <c r="E35" s="151" t="s">
        <v>155</v>
      </c>
      <c r="F35" s="151" t="s">
        <v>156</v>
      </c>
      <c r="G35" s="151" t="s">
        <v>352</v>
      </c>
      <c r="H35" s="151" t="s">
        <v>353</v>
      </c>
    </row>
    <row r="36" spans="1:8" ht="14.25" customHeight="1" x14ac:dyDescent="0.35">
      <c r="A36" t="s">
        <v>354</v>
      </c>
      <c r="B36">
        <f t="shared" ref="B36:H36" si="10">IF(B24=0,"-",ROUND(B28/B24,2))</f>
        <v>0.19</v>
      </c>
      <c r="C36">
        <f t="shared" si="10"/>
        <v>3.5</v>
      </c>
      <c r="D36">
        <f t="shared" si="10"/>
        <v>0.96</v>
      </c>
      <c r="E36">
        <f t="shared" si="10"/>
        <v>0.22</v>
      </c>
      <c r="F36">
        <f t="shared" si="10"/>
        <v>0.08</v>
      </c>
      <c r="G36">
        <f t="shared" si="10"/>
        <v>0.04</v>
      </c>
      <c r="H36">
        <f t="shared" si="10"/>
        <v>0.03</v>
      </c>
    </row>
    <row r="37" spans="1:8" ht="14.25" customHeight="1" x14ac:dyDescent="0.35">
      <c r="A37" t="s">
        <v>355</v>
      </c>
      <c r="B37" s="143" t="str">
        <f t="shared" ref="B37:H37" si="11">IF(B30=0,"-",ROUND(B24/B30*100,1)&amp;"%")</f>
        <v>84%</v>
      </c>
      <c r="C37" s="143" t="str">
        <f t="shared" si="11"/>
        <v>22,2%</v>
      </c>
      <c r="D37" s="143" t="str">
        <f t="shared" si="11"/>
        <v>51,1%</v>
      </c>
      <c r="E37" s="143" t="str">
        <f t="shared" si="11"/>
        <v>82,1%</v>
      </c>
      <c r="F37" s="143" t="str">
        <f t="shared" si="11"/>
        <v>92,9%</v>
      </c>
      <c r="G37" s="143" t="str">
        <f t="shared" si="11"/>
        <v>95,9%</v>
      </c>
      <c r="H37" s="143" t="str">
        <f t="shared" si="11"/>
        <v>97%</v>
      </c>
    </row>
    <row r="38" spans="1:8" ht="14.25" customHeight="1" x14ac:dyDescent="0.35">
      <c r="A38" t="s">
        <v>356</v>
      </c>
      <c r="B38" s="143">
        <f t="shared" ref="B38:H38" si="12">ROUND(B13/1000,0)</f>
        <v>109</v>
      </c>
      <c r="C38" s="143">
        <f t="shared" si="12"/>
        <v>178</v>
      </c>
      <c r="D38" s="143">
        <f t="shared" si="12"/>
        <v>168</v>
      </c>
      <c r="E38" s="143">
        <f t="shared" si="12"/>
        <v>401</v>
      </c>
      <c r="F38" s="143">
        <f t="shared" si="12"/>
        <v>815</v>
      </c>
      <c r="G38" s="143">
        <f t="shared" si="12"/>
        <v>1450</v>
      </c>
      <c r="H38" s="143">
        <f t="shared" si="12"/>
        <v>2203</v>
      </c>
    </row>
    <row r="39" spans="1:8" ht="14.25" customHeight="1" x14ac:dyDescent="0.35"/>
    <row r="40" spans="1:8" ht="14.25" customHeight="1" x14ac:dyDescent="0.35">
      <c r="A40" s="145" t="s">
        <v>350</v>
      </c>
    </row>
    <row r="41" spans="1:8" ht="14.25" customHeight="1" x14ac:dyDescent="0.35">
      <c r="A41" s="33" t="s">
        <v>357</v>
      </c>
    </row>
    <row r="42" spans="1:8" ht="14.25" customHeight="1" x14ac:dyDescent="0.35">
      <c r="A42" t="s">
        <v>140</v>
      </c>
      <c r="B42" s="33" t="s">
        <v>220</v>
      </c>
      <c r="C42" s="33" t="s">
        <v>153</v>
      </c>
      <c r="D42" s="33" t="s">
        <v>154</v>
      </c>
      <c r="E42" s="33" t="s">
        <v>155</v>
      </c>
      <c r="F42" s="33" t="s">
        <v>156</v>
      </c>
      <c r="G42" s="33" t="s">
        <v>352</v>
      </c>
      <c r="H42" s="33" t="s">
        <v>353</v>
      </c>
    </row>
    <row r="43" spans="1:8" ht="14.25" customHeight="1" x14ac:dyDescent="0.35">
      <c r="A43" t="s">
        <v>358</v>
      </c>
      <c r="B43" s="47">
        <f t="shared" ref="B43:H43" si="13">B26</f>
        <v>0</v>
      </c>
      <c r="C43" s="47">
        <f t="shared" si="13"/>
        <v>159810</v>
      </c>
      <c r="D43" s="47">
        <f t="shared" si="13"/>
        <v>114353.37</v>
      </c>
      <c r="E43" s="47">
        <f t="shared" si="13"/>
        <v>66808.3</v>
      </c>
      <c r="F43" s="47">
        <f t="shared" si="13"/>
        <v>17079.02</v>
      </c>
      <c r="G43" s="47">
        <f t="shared" si="13"/>
        <v>0</v>
      </c>
      <c r="H43" s="47">
        <f t="shared" si="13"/>
        <v>0</v>
      </c>
    </row>
    <row r="44" spans="1:8" ht="14.25" customHeight="1" x14ac:dyDescent="0.35">
      <c r="A44" t="s">
        <v>359</v>
      </c>
      <c r="B44">
        <f>ROUND(B11*0.05,0)</f>
        <v>0</v>
      </c>
      <c r="C44">
        <f t="shared" ref="C44:H44" si="14">ROUND(C11*(3/52),0)</f>
        <v>908</v>
      </c>
      <c r="D44">
        <f t="shared" si="14"/>
        <v>4054</v>
      </c>
      <c r="E44">
        <f t="shared" si="14"/>
        <v>11012</v>
      </c>
      <c r="F44">
        <f t="shared" si="14"/>
        <v>14945</v>
      </c>
      <c r="G44">
        <f t="shared" si="14"/>
        <v>17789</v>
      </c>
      <c r="H44">
        <f t="shared" si="14"/>
        <v>18092</v>
      </c>
    </row>
    <row r="45" spans="1:8" ht="14.25" customHeight="1" x14ac:dyDescent="0.35">
      <c r="A45" t="s">
        <v>360</v>
      </c>
      <c r="B45">
        <f>ROUND('Charges Fixes Plume'!D57/12,0)</f>
        <v>17399</v>
      </c>
      <c r="C45">
        <f>ROUND('Charges Fixes Plume'!D57/12,0)</f>
        <v>17399</v>
      </c>
      <c r="D45">
        <f>ROUND('Charges Fixes Plume'!D57/12,0)</f>
        <v>17399</v>
      </c>
      <c r="E45">
        <f>ROUND('Charges Fixes Plume'!D57/12,0)</f>
        <v>17399</v>
      </c>
      <c r="F45">
        <f>ROUND('Charges Fixes Plume'!D57/12,0)</f>
        <v>17399</v>
      </c>
      <c r="G45">
        <f>ROUND('Charges Fixes Plume'!D57/12,0)</f>
        <v>17399</v>
      </c>
      <c r="H45">
        <f>ROUND('Charges Fixes Plume'!D57/12,0)</f>
        <v>17399</v>
      </c>
    </row>
    <row r="46" spans="1:8" ht="14.25" customHeight="1" x14ac:dyDescent="0.35">
      <c r="A46" t="s">
        <v>361</v>
      </c>
      <c r="B46" s="103">
        <f>('Compte de Résultat'!B13*0.015)</f>
        <v>0</v>
      </c>
      <c r="C46" s="103">
        <f>('Compte de Résultat'!C13*0.015)</f>
        <v>2893.59375</v>
      </c>
      <c r="D46" s="103">
        <f>('Compte de Résultat'!D13*0.015)</f>
        <v>9645.3125000000018</v>
      </c>
      <c r="E46" s="103">
        <f>('Compte de Résultat'!E13*0.015)</f>
        <v>21219.687500000004</v>
      </c>
      <c r="F46" s="103">
        <f>('Compte de Résultat'!F13*0.015)</f>
        <v>30864.999999999996</v>
      </c>
      <c r="G46" s="103">
        <f>('Compte de Résultat'!G13*0.015)</f>
        <v>38581.25</v>
      </c>
      <c r="H46" s="103">
        <f>('Compte de Résultat'!H13*0.015)</f>
        <v>40510.312500000007</v>
      </c>
    </row>
    <row r="47" spans="1:8" ht="14.25" customHeight="1" x14ac:dyDescent="0.35">
      <c r="A47" s="33" t="s">
        <v>348</v>
      </c>
      <c r="B47" s="47">
        <f t="shared" ref="B47:H47" si="15">SUM(B43:B46)</f>
        <v>17399</v>
      </c>
      <c r="C47" s="47">
        <f t="shared" si="15"/>
        <v>181010.59375</v>
      </c>
      <c r="D47" s="47">
        <f t="shared" si="15"/>
        <v>145451.6825</v>
      </c>
      <c r="E47" s="47">
        <f t="shared" si="15"/>
        <v>116438.9875</v>
      </c>
      <c r="F47" s="47">
        <f t="shared" si="15"/>
        <v>80288.02</v>
      </c>
      <c r="G47" s="47">
        <f t="shared" si="15"/>
        <v>73769.25</v>
      </c>
      <c r="H47" s="47">
        <f t="shared" si="15"/>
        <v>76001.3125</v>
      </c>
    </row>
    <row r="48" spans="1:8" ht="14.25" customHeight="1" x14ac:dyDescent="0.35"/>
    <row r="49" spans="1:1" ht="14.25" customHeight="1" x14ac:dyDescent="0.35">
      <c r="A49" t="s">
        <v>350</v>
      </c>
    </row>
    <row r="50" spans="1:1" ht="14.25" customHeight="1" x14ac:dyDescent="0.35">
      <c r="A50" s="33" t="s">
        <v>362</v>
      </c>
    </row>
    <row r="51" spans="1:1" ht="14.25" customHeight="1" x14ac:dyDescent="0.35">
      <c r="A51" t="s">
        <v>363</v>
      </c>
    </row>
    <row r="52" spans="1:1" ht="14.25" customHeight="1" x14ac:dyDescent="0.35">
      <c r="A52" t="s">
        <v>364</v>
      </c>
    </row>
    <row r="53" spans="1:1" ht="14.25" customHeight="1" x14ac:dyDescent="0.35">
      <c r="A53" t="s">
        <v>365</v>
      </c>
    </row>
    <row r="54" spans="1:1" ht="14.25" customHeight="1" x14ac:dyDescent="0.35">
      <c r="A54" t="s">
        <v>366</v>
      </c>
    </row>
    <row r="55" spans="1:1" ht="14.25" customHeight="1" x14ac:dyDescent="0.35">
      <c r="A55" t="s">
        <v>367</v>
      </c>
    </row>
  </sheetData>
  <mergeCells count="3">
    <mergeCell ref="A1:H1"/>
    <mergeCell ref="A2:H2"/>
    <mergeCell ref="A3:H3"/>
  </mergeCell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H36"/>
  <sheetViews>
    <sheetView tabSelected="1" zoomScale="90" zoomScaleNormal="90" workbookViewId="0">
      <selection activeCell="E15" sqref="E15"/>
    </sheetView>
  </sheetViews>
  <sheetFormatPr baseColWidth="10" defaultColWidth="8.6328125" defaultRowHeight="14.5" x14ac:dyDescent="0.35"/>
  <cols>
    <col min="1" max="1" width="55" customWidth="1"/>
    <col min="2" max="8" width="14" customWidth="1"/>
  </cols>
  <sheetData>
    <row r="1" spans="1:8" ht="19.5" customHeight="1" x14ac:dyDescent="0.4">
      <c r="A1" s="399" t="s">
        <v>368</v>
      </c>
      <c r="B1" s="399"/>
      <c r="C1" s="399"/>
      <c r="D1" s="399"/>
      <c r="E1" s="399"/>
      <c r="F1" s="399"/>
      <c r="G1" s="399"/>
      <c r="H1" s="399"/>
    </row>
    <row r="3" spans="1:8" ht="15" customHeight="1" x14ac:dyDescent="0.35">
      <c r="A3" s="468" t="s">
        <v>369</v>
      </c>
      <c r="B3" s="468"/>
      <c r="C3" s="468"/>
    </row>
    <row r="4" spans="1:8" ht="15" customHeight="1" x14ac:dyDescent="0.35">
      <c r="A4" s="38" t="s">
        <v>370</v>
      </c>
      <c r="B4" s="152">
        <f>'Marges Produits'!C49</f>
        <v>2572.0833333333335</v>
      </c>
    </row>
    <row r="5" spans="1:8" ht="15" customHeight="1" x14ac:dyDescent="0.35">
      <c r="A5" s="38" t="s">
        <v>371</v>
      </c>
      <c r="B5" s="152">
        <f>'Marges Produits'!D49</f>
        <v>1100.3574999999998</v>
      </c>
    </row>
    <row r="6" spans="1:8" ht="15" customHeight="1" x14ac:dyDescent="0.35">
      <c r="A6" s="38" t="s">
        <v>305</v>
      </c>
      <c r="B6" s="152">
        <f>'Marges Produits'!E49</f>
        <v>1048.7925</v>
      </c>
    </row>
    <row r="7" spans="1:8" ht="15" customHeight="1" x14ac:dyDescent="0.35">
      <c r="A7" s="38" t="s">
        <v>372</v>
      </c>
      <c r="B7" s="152">
        <f>B4*0.008</f>
        <v>20.576666666666668</v>
      </c>
    </row>
    <row r="8" spans="1:8" ht="15" customHeight="1" x14ac:dyDescent="0.35">
      <c r="A8" s="38" t="s">
        <v>373</v>
      </c>
      <c r="B8" s="76">
        <f>B5-B7</f>
        <v>1079.7808333333332</v>
      </c>
    </row>
    <row r="9" spans="1:8" ht="15" customHeight="1" x14ac:dyDescent="0.35">
      <c r="A9" s="38" t="s">
        <v>306</v>
      </c>
      <c r="B9" s="127">
        <v>0.25</v>
      </c>
    </row>
    <row r="10" spans="1:8" ht="15" customHeight="1" x14ac:dyDescent="0.35">
      <c r="A10" s="38" t="s">
        <v>374</v>
      </c>
      <c r="B10" s="58">
        <f>'Charges Fixes Plume'!D38+'Charges Fixes Plume'!D29+'Charges Fixes Plume'!D13</f>
        <v>208782.334</v>
      </c>
    </row>
    <row r="11" spans="1:8" ht="15" customHeight="1" x14ac:dyDescent="0.35">
      <c r="A11" s="38"/>
      <c r="B11" s="58"/>
    </row>
    <row r="13" spans="1:8" ht="15" customHeight="1" x14ac:dyDescent="0.35">
      <c r="A13" s="468" t="s">
        <v>375</v>
      </c>
      <c r="B13" s="468"/>
      <c r="C13" s="468"/>
      <c r="D13" s="468"/>
      <c r="E13" s="468"/>
      <c r="F13" s="468"/>
      <c r="G13" s="468"/>
      <c r="H13" s="468"/>
    </row>
    <row r="14" spans="1:8" ht="15" customHeight="1" x14ac:dyDescent="0.35">
      <c r="A14" s="88" t="s">
        <v>140</v>
      </c>
      <c r="B14" s="57">
        <v>2025</v>
      </c>
      <c r="C14" s="57">
        <v>2026</v>
      </c>
      <c r="D14" s="57">
        <v>2027</v>
      </c>
      <c r="E14" s="57">
        <v>2028</v>
      </c>
      <c r="F14" s="57">
        <v>2029</v>
      </c>
      <c r="G14" s="57">
        <v>2030</v>
      </c>
      <c r="H14" s="57">
        <v>2031</v>
      </c>
    </row>
    <row r="15" spans="1:8" ht="15" customHeight="1" x14ac:dyDescent="0.35">
      <c r="A15" s="38" t="s">
        <v>307</v>
      </c>
      <c r="B15" s="153">
        <f>SUM('Plan Trésorerie Mensuel'!B16:B23)</f>
        <v>7702.4833333333336</v>
      </c>
      <c r="C15" s="153">
        <f>SUM('Plan Trésorerie Mensuel'!C16:N23)</f>
        <v>203699.82399999991</v>
      </c>
      <c r="D15" s="153">
        <f>SUM('Plan Trésorerie Mensuel'!B47:M53)</f>
        <v>212738.2319999999</v>
      </c>
      <c r="E15" s="153">
        <f>SUM('Plan Trésorerie Mensuel'!N47:Y53)</f>
        <v>206265.2319999999</v>
      </c>
      <c r="F15" s="153">
        <f>SUM('Plan Trésorerie Mensuel'!Z47:AK53)</f>
        <v>342769.23200000008</v>
      </c>
      <c r="G15" s="153">
        <f>SUM('Plan Trésorerie Mensuel'!AL47:AW53)</f>
        <v>342769.23200000008</v>
      </c>
      <c r="H15" s="153">
        <f>SUM('Plan Trésorerie Mensuel'!AX47:BI53)</f>
        <v>342769.23200000008</v>
      </c>
    </row>
    <row r="16" spans="1:8" ht="15" customHeight="1" x14ac:dyDescent="0.35">
      <c r="A16" s="38" t="s">
        <v>376</v>
      </c>
      <c r="B16" s="153">
        <f>'Compte de Résultat'!B20</f>
        <v>0</v>
      </c>
      <c r="C16" s="153">
        <f>'Compte de Résultat'!C20</f>
        <v>5742.63</v>
      </c>
      <c r="D16" s="153">
        <f>'Compte de Résultat'!D20</f>
        <v>6941.91</v>
      </c>
      <c r="E16" s="153">
        <f>'Compte de Résultat'!E20</f>
        <v>4853.6400000000003</v>
      </c>
      <c r="F16" s="153">
        <f>'Compte de Résultat'!F20</f>
        <v>2669.42</v>
      </c>
      <c r="G16" s="153">
        <f>'Compte de Résultat'!G20</f>
        <v>387.22</v>
      </c>
      <c r="H16" s="153">
        <f>'Compte de Résultat'!H20</f>
        <v>0</v>
      </c>
    </row>
    <row r="17" spans="1:8" ht="15" customHeight="1" x14ac:dyDescent="0.35">
      <c r="A17" s="60" t="s">
        <v>315</v>
      </c>
      <c r="B17" s="129">
        <f t="shared" ref="B17:H17" si="0">B15+B16</f>
        <v>7702.4833333333336</v>
      </c>
      <c r="C17" s="129">
        <f t="shared" si="0"/>
        <v>209442.45399999991</v>
      </c>
      <c r="D17" s="129">
        <f t="shared" si="0"/>
        <v>219680.14199999991</v>
      </c>
      <c r="E17" s="129">
        <f t="shared" si="0"/>
        <v>211118.87199999992</v>
      </c>
      <c r="F17" s="129">
        <f t="shared" si="0"/>
        <v>345438.65200000006</v>
      </c>
      <c r="G17" s="129">
        <f t="shared" si="0"/>
        <v>343156.45200000005</v>
      </c>
      <c r="H17" s="129">
        <f t="shared" si="0"/>
        <v>342769.23200000008</v>
      </c>
    </row>
    <row r="19" spans="1:8" ht="15" customHeight="1" x14ac:dyDescent="0.35">
      <c r="A19" s="469" t="s">
        <v>377</v>
      </c>
      <c r="B19" s="469"/>
      <c r="C19" s="469"/>
      <c r="D19" s="469"/>
      <c r="E19" s="469"/>
      <c r="F19" s="469"/>
      <c r="G19" s="469"/>
      <c r="H19" s="469"/>
    </row>
    <row r="20" spans="1:8" ht="15" customHeight="1" x14ac:dyDescent="0.35">
      <c r="A20" s="134" t="s">
        <v>378</v>
      </c>
    </row>
    <row r="21" spans="1:8" ht="17.25" customHeight="1" x14ac:dyDescent="0.35">
      <c r="A21" s="60" t="s">
        <v>379</v>
      </c>
      <c r="B21" s="154">
        <f t="shared" ref="B21:H21" si="1">IF(B17=0,0,ROUNDUP(B17/$B$8,0))</f>
        <v>8</v>
      </c>
      <c r="C21" s="154">
        <f t="shared" si="1"/>
        <v>194</v>
      </c>
      <c r="D21" s="154">
        <f t="shared" si="1"/>
        <v>204</v>
      </c>
      <c r="E21" s="154">
        <f t="shared" si="1"/>
        <v>196</v>
      </c>
      <c r="F21" s="154">
        <f t="shared" si="1"/>
        <v>320</v>
      </c>
      <c r="G21" s="154">
        <f t="shared" si="1"/>
        <v>318</v>
      </c>
      <c r="H21" s="154">
        <f t="shared" si="1"/>
        <v>318</v>
      </c>
    </row>
    <row r="23" spans="1:8" ht="15" customHeight="1" x14ac:dyDescent="0.35">
      <c r="A23" s="470" t="s">
        <v>380</v>
      </c>
      <c r="B23" s="470"/>
      <c r="C23" s="470"/>
      <c r="D23" s="470"/>
      <c r="E23" s="470"/>
      <c r="F23" s="470"/>
      <c r="G23" s="470"/>
      <c r="H23" s="470"/>
    </row>
    <row r="24" spans="1:8" ht="15" customHeight="1" x14ac:dyDescent="0.35">
      <c r="A24" s="38" t="s">
        <v>381</v>
      </c>
      <c r="B24" s="155">
        <f t="shared" ref="B24:H24" si="2">B21</f>
        <v>8</v>
      </c>
      <c r="C24" s="155">
        <f t="shared" si="2"/>
        <v>194</v>
      </c>
      <c r="D24" s="155">
        <f t="shared" si="2"/>
        <v>204</v>
      </c>
      <c r="E24" s="155">
        <f t="shared" si="2"/>
        <v>196</v>
      </c>
      <c r="F24" s="155">
        <f t="shared" si="2"/>
        <v>320</v>
      </c>
      <c r="G24" s="155">
        <f t="shared" si="2"/>
        <v>318</v>
      </c>
      <c r="H24" s="155">
        <f t="shared" si="2"/>
        <v>318</v>
      </c>
    </row>
    <row r="25" spans="1:8" ht="15" customHeight="1" x14ac:dyDescent="0.35">
      <c r="A25" s="38" t="s">
        <v>382</v>
      </c>
      <c r="B25" s="92">
        <f>Scénarios!B16</f>
        <v>0</v>
      </c>
      <c r="C25" s="92">
        <f>Scénarios!C16</f>
        <v>75</v>
      </c>
      <c r="D25" s="92">
        <f>Scénarios!D16</f>
        <v>250</v>
      </c>
      <c r="E25" s="92">
        <f>Scénarios!E16</f>
        <v>550</v>
      </c>
      <c r="F25" s="92">
        <f>Scénarios!F16</f>
        <v>800</v>
      </c>
      <c r="G25" s="92">
        <f>Scénarios!G16</f>
        <v>1000</v>
      </c>
      <c r="H25" s="92">
        <f>Scénarios!H16</f>
        <v>1000</v>
      </c>
    </row>
    <row r="26" spans="1:8" ht="15" customHeight="1" x14ac:dyDescent="0.35">
      <c r="A26" s="38"/>
      <c r="B26" s="90"/>
      <c r="C26" s="90"/>
      <c r="D26" s="90"/>
      <c r="E26" s="90"/>
      <c r="F26" s="90"/>
      <c r="G26" s="90"/>
      <c r="H26" s="90"/>
    </row>
    <row r="27" spans="1:8" ht="15" customHeight="1" x14ac:dyDescent="0.35">
      <c r="A27" s="38" t="s">
        <v>383</v>
      </c>
      <c r="B27" s="156">
        <f t="shared" ref="B27:H27" si="3">B25-B21</f>
        <v>-8</v>
      </c>
      <c r="C27" s="156">
        <f t="shared" si="3"/>
        <v>-119</v>
      </c>
      <c r="D27" s="156">
        <f t="shared" si="3"/>
        <v>46</v>
      </c>
      <c r="E27" s="156">
        <f t="shared" si="3"/>
        <v>354</v>
      </c>
      <c r="F27" s="156">
        <f t="shared" si="3"/>
        <v>480</v>
      </c>
      <c r="G27" s="156">
        <f t="shared" si="3"/>
        <v>682</v>
      </c>
      <c r="H27" s="156">
        <f t="shared" si="3"/>
        <v>682</v>
      </c>
    </row>
    <row r="29" spans="1:8" ht="15" customHeight="1" x14ac:dyDescent="0.35">
      <c r="A29" s="467" t="s">
        <v>384</v>
      </c>
      <c r="B29" s="467"/>
      <c r="C29" s="467"/>
      <c r="D29" s="467"/>
      <c r="E29" s="467"/>
      <c r="F29" s="467"/>
      <c r="G29" s="467"/>
      <c r="H29" s="467"/>
    </row>
    <row r="30" spans="1:8" ht="15" customHeight="1" x14ac:dyDescent="0.35">
      <c r="A30" s="478" t="s">
        <v>596</v>
      </c>
    </row>
    <row r="31" spans="1:8" ht="15" customHeight="1" x14ac:dyDescent="0.35">
      <c r="A31" s="38" t="s">
        <v>595</v>
      </c>
      <c r="B31" s="135">
        <f t="shared" ref="B31:H31" si="4">B25*$B$9</f>
        <v>0</v>
      </c>
      <c r="C31" s="135">
        <f t="shared" si="4"/>
        <v>18.75</v>
      </c>
      <c r="D31" s="135">
        <f t="shared" si="4"/>
        <v>62.5</v>
      </c>
      <c r="E31" s="135">
        <f t="shared" si="4"/>
        <v>137.5</v>
      </c>
      <c r="F31" s="135">
        <f t="shared" si="4"/>
        <v>200</v>
      </c>
      <c r="G31" s="135">
        <f t="shared" si="4"/>
        <v>250</v>
      </c>
      <c r="H31" s="135">
        <f t="shared" si="4"/>
        <v>250</v>
      </c>
    </row>
    <row r="32" spans="1:8" ht="15" customHeight="1" x14ac:dyDescent="0.35">
      <c r="A32" s="38" t="s">
        <v>327</v>
      </c>
      <c r="B32" s="128">
        <f t="shared" ref="B32:H32" si="5">B31*$B$6</f>
        <v>0</v>
      </c>
      <c r="C32" s="128">
        <f t="shared" si="5"/>
        <v>19664.859375</v>
      </c>
      <c r="D32" s="128">
        <f t="shared" si="5"/>
        <v>65549.53125</v>
      </c>
      <c r="E32" s="128">
        <f t="shared" si="5"/>
        <v>144208.96875</v>
      </c>
      <c r="F32" s="128">
        <f t="shared" si="5"/>
        <v>209758.5</v>
      </c>
      <c r="G32" s="128">
        <f t="shared" si="5"/>
        <v>262198.125</v>
      </c>
      <c r="H32" s="128">
        <f t="shared" si="5"/>
        <v>262198.125</v>
      </c>
    </row>
    <row r="33" spans="1:8" ht="15" customHeight="1" x14ac:dyDescent="0.35">
      <c r="A33" s="60" t="s">
        <v>385</v>
      </c>
      <c r="B33" s="136">
        <f>B32</f>
        <v>0</v>
      </c>
      <c r="C33" s="136">
        <f t="shared" ref="C33:H33" si="6">C32-B32</f>
        <v>19664.859375</v>
      </c>
      <c r="D33" s="136">
        <f t="shared" si="6"/>
        <v>45884.671875</v>
      </c>
      <c r="E33" s="136">
        <f t="shared" si="6"/>
        <v>78659.4375</v>
      </c>
      <c r="F33" s="136">
        <f t="shared" si="6"/>
        <v>65549.53125</v>
      </c>
      <c r="G33" s="136">
        <f t="shared" si="6"/>
        <v>52439.625</v>
      </c>
      <c r="H33" s="136">
        <f t="shared" si="6"/>
        <v>0</v>
      </c>
    </row>
    <row r="35" spans="1:8" ht="15" customHeight="1" x14ac:dyDescent="0.35">
      <c r="A35" s="2" t="s">
        <v>386</v>
      </c>
    </row>
    <row r="36" spans="1:8" ht="15" customHeight="1" x14ac:dyDescent="0.35">
      <c r="A36" s="157" t="s">
        <v>387</v>
      </c>
    </row>
  </sheetData>
  <mergeCells count="6">
    <mergeCell ref="A29:H29"/>
    <mergeCell ref="A1:H1"/>
    <mergeCell ref="A3:C3"/>
    <mergeCell ref="A13:H13"/>
    <mergeCell ref="A19:H19"/>
    <mergeCell ref="A23:H23"/>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6734-80A3-4E64-84C6-A380AA32B419}">
  <sheetPr>
    <tabColor rgb="FFFFC000"/>
  </sheetPr>
  <dimension ref="A1:CH119"/>
  <sheetViews>
    <sheetView topLeftCell="A31" zoomScale="90" zoomScaleNormal="90" workbookViewId="0">
      <pane xSplit="1" topLeftCell="B1" activePane="topRight" state="frozen"/>
      <selection activeCell="A3" sqref="A3"/>
      <selection pane="topRight" activeCell="R35" sqref="R35"/>
    </sheetView>
  </sheetViews>
  <sheetFormatPr baseColWidth="10" defaultColWidth="8.6328125" defaultRowHeight="14.5" x14ac:dyDescent="0.35"/>
  <cols>
    <col min="1" max="1" width="42.36328125" customWidth="1"/>
    <col min="2" max="2" width="10.81640625" customWidth="1"/>
    <col min="3" max="3" width="17.36328125" bestFit="1" customWidth="1"/>
    <col min="4" max="61" width="10.81640625" customWidth="1"/>
  </cols>
  <sheetData>
    <row r="1" spans="1:15" ht="17.25" customHeight="1" x14ac:dyDescent="0.35">
      <c r="A1" s="100" t="s">
        <v>244</v>
      </c>
    </row>
    <row r="2" spans="1:15" ht="15" customHeight="1" x14ac:dyDescent="0.45">
      <c r="A2" s="85" t="s">
        <v>245</v>
      </c>
      <c r="E2" s="336" t="s">
        <v>499</v>
      </c>
      <c r="F2" s="337">
        <v>0.7</v>
      </c>
    </row>
    <row r="4" spans="1:15" ht="15" customHeight="1" x14ac:dyDescent="0.35">
      <c r="A4" s="86" t="s">
        <v>246</v>
      </c>
    </row>
    <row r="5" spans="1:15" ht="15" customHeight="1" x14ac:dyDescent="0.35">
      <c r="B5" s="101" t="s">
        <v>247</v>
      </c>
      <c r="C5" s="101" t="s">
        <v>248</v>
      </c>
      <c r="D5" s="101" t="s">
        <v>249</v>
      </c>
      <c r="E5" s="101" t="s">
        <v>250</v>
      </c>
      <c r="F5" s="101" t="s">
        <v>251</v>
      </c>
      <c r="G5" s="101" t="s">
        <v>55</v>
      </c>
      <c r="H5" s="101" t="s">
        <v>56</v>
      </c>
      <c r="I5" s="101" t="s">
        <v>252</v>
      </c>
      <c r="J5" s="101" t="s">
        <v>58</v>
      </c>
      <c r="K5" s="101" t="s">
        <v>253</v>
      </c>
      <c r="L5" s="101" t="s">
        <v>254</v>
      </c>
      <c r="M5" s="101" t="s">
        <v>255</v>
      </c>
      <c r="N5" s="101" t="s">
        <v>256</v>
      </c>
      <c r="O5" s="285" t="s">
        <v>17</v>
      </c>
    </row>
    <row r="6" spans="1:15" ht="15" customHeight="1" x14ac:dyDescent="0.35">
      <c r="A6" s="102" t="s">
        <v>257</v>
      </c>
      <c r="O6" s="286"/>
    </row>
    <row r="7" spans="1:15" ht="15" customHeight="1" x14ac:dyDescent="0.35">
      <c r="A7" t="s">
        <v>8</v>
      </c>
      <c r="B7" s="277">
        <f>Dashboard!B9</f>
        <v>100000</v>
      </c>
      <c r="C7" s="277">
        <v>0</v>
      </c>
      <c r="D7" s="277">
        <v>0</v>
      </c>
      <c r="E7" s="277">
        <v>0</v>
      </c>
      <c r="F7" s="277">
        <v>0</v>
      </c>
      <c r="G7" s="277">
        <v>0</v>
      </c>
      <c r="H7" s="277">
        <v>0</v>
      </c>
      <c r="I7" s="277">
        <v>0</v>
      </c>
      <c r="J7" s="277">
        <v>0</v>
      </c>
      <c r="K7" s="277">
        <v>0</v>
      </c>
      <c r="L7" s="277">
        <v>0</v>
      </c>
      <c r="M7" s="277">
        <v>0</v>
      </c>
      <c r="N7" s="277">
        <v>0</v>
      </c>
      <c r="O7" s="287">
        <f>SUM(B7:N7)</f>
        <v>100000</v>
      </c>
    </row>
    <row r="8" spans="1:15" ht="15" customHeight="1" x14ac:dyDescent="0.35">
      <c r="A8" t="s">
        <v>226</v>
      </c>
      <c r="B8" s="277">
        <v>0</v>
      </c>
      <c r="C8" s="277">
        <v>89000</v>
      </c>
      <c r="D8" s="277">
        <v>0</v>
      </c>
      <c r="E8" s="277">
        <v>0</v>
      </c>
      <c r="F8" s="277">
        <v>0</v>
      </c>
      <c r="G8" s="277">
        <v>0</v>
      </c>
      <c r="H8" s="277">
        <v>0</v>
      </c>
      <c r="I8" s="277">
        <v>0</v>
      </c>
      <c r="J8" s="277">
        <v>0</v>
      </c>
      <c r="K8" s="277">
        <v>0</v>
      </c>
      <c r="L8" s="277">
        <v>0</v>
      </c>
      <c r="M8" s="277">
        <v>0</v>
      </c>
      <c r="N8" s="277">
        <v>0</v>
      </c>
      <c r="O8" s="287">
        <f>SUM(B8:N8)</f>
        <v>89000</v>
      </c>
    </row>
    <row r="9" spans="1:15" ht="15" customHeight="1" x14ac:dyDescent="0.35">
      <c r="A9" t="s">
        <v>258</v>
      </c>
      <c r="B9" s="277">
        <v>0</v>
      </c>
      <c r="C9" s="277">
        <v>0</v>
      </c>
      <c r="D9" s="277">
        <v>0</v>
      </c>
      <c r="E9" s="277"/>
      <c r="F9" s="277">
        <v>0</v>
      </c>
      <c r="G9" s="277">
        <f>'Emprunt Bancaire'!B4</f>
        <v>189000</v>
      </c>
      <c r="H9" s="277">
        <v>0</v>
      </c>
      <c r="I9" s="277">
        <v>0</v>
      </c>
      <c r="J9" s="277">
        <v>0</v>
      </c>
      <c r="K9" s="277">
        <v>0</v>
      </c>
      <c r="L9" s="277">
        <v>0</v>
      </c>
      <c r="M9" s="277">
        <v>0</v>
      </c>
      <c r="N9" s="277">
        <v>0</v>
      </c>
      <c r="O9" s="287">
        <f>SUM(B9:N9)</f>
        <v>189000</v>
      </c>
    </row>
    <row r="10" spans="1:15" ht="15" customHeight="1" x14ac:dyDescent="0.35">
      <c r="B10" s="277"/>
      <c r="C10" s="277"/>
      <c r="D10" s="277"/>
      <c r="E10" s="277"/>
      <c r="F10" s="277"/>
      <c r="G10" s="277"/>
      <c r="H10" s="277"/>
      <c r="I10" s="277"/>
      <c r="J10" s="277"/>
      <c r="K10" s="277"/>
      <c r="L10" s="277"/>
      <c r="M10" s="277"/>
      <c r="N10" s="277"/>
      <c r="O10" s="288">
        <f>SUM(O8:O9)</f>
        <v>278000</v>
      </c>
    </row>
    <row r="11" spans="1:15" ht="15" customHeight="1" x14ac:dyDescent="0.35">
      <c r="B11" s="277"/>
      <c r="C11" s="277"/>
      <c r="D11" s="277"/>
      <c r="E11" s="277"/>
      <c r="F11" s="277"/>
      <c r="G11" s="277"/>
      <c r="H11" s="277"/>
      <c r="I11" s="277"/>
      <c r="J11" s="277"/>
      <c r="K11" s="277"/>
      <c r="L11" s="277"/>
      <c r="M11" s="277"/>
      <c r="N11" s="277"/>
      <c r="O11" s="287"/>
    </row>
    <row r="12" spans="1:15" ht="15" customHeight="1" x14ac:dyDescent="0.35">
      <c r="A12" t="s">
        <v>259</v>
      </c>
      <c r="B12" s="277">
        <v>0</v>
      </c>
      <c r="C12" s="277">
        <f>C35*'Marges Produits'!$C$49</f>
        <v>0</v>
      </c>
      <c r="D12" s="277">
        <f>D35*'Marges Produits'!$C$49</f>
        <v>0</v>
      </c>
      <c r="E12" s="277">
        <f>E35*'Marges Produits'!$C$49</f>
        <v>0</v>
      </c>
      <c r="F12" s="277">
        <f>F35*'Marges Produits'!$C$49</f>
        <v>10288.333333333334</v>
      </c>
      <c r="G12" s="277">
        <f>G35*'Marges Produits'!$C$49</f>
        <v>12860.416666666668</v>
      </c>
      <c r="H12" s="277">
        <f>H35*'Marges Produits'!$C$49</f>
        <v>15432.5</v>
      </c>
      <c r="I12" s="277">
        <f>I35*'Marges Produits'!$C$49</f>
        <v>20576.666666666668</v>
      </c>
      <c r="J12" s="277">
        <f>J35*'Marges Produits'!$C$49</f>
        <v>20576.666666666668</v>
      </c>
      <c r="K12" s="277">
        <f>K35*'Marges Produits'!$C$49</f>
        <v>18004.583333333336</v>
      </c>
      <c r="L12" s="277">
        <f>L35*'Marges Produits'!$C$49</f>
        <v>18004.583333333336</v>
      </c>
      <c r="M12" s="277">
        <f>M35*'Marges Produits'!$C$49</f>
        <v>10288.333333333334</v>
      </c>
      <c r="N12" s="277">
        <f>N35*'Marges Produits'!$C$49</f>
        <v>10288.333333333334</v>
      </c>
      <c r="O12" s="287">
        <f>SUM(B12:N12)</f>
        <v>136320.41666666669</v>
      </c>
    </row>
    <row r="13" spans="1:15" ht="15" customHeight="1" x14ac:dyDescent="0.35">
      <c r="A13" s="33" t="s">
        <v>260</v>
      </c>
      <c r="B13" s="277">
        <f t="shared" ref="B13:N13" si="0">SUM(B7:B12)</f>
        <v>100000</v>
      </c>
      <c r="C13" s="277">
        <f t="shared" si="0"/>
        <v>89000</v>
      </c>
      <c r="D13" s="277">
        <f t="shared" si="0"/>
        <v>0</v>
      </c>
      <c r="E13" s="277">
        <f t="shared" si="0"/>
        <v>0</v>
      </c>
      <c r="F13" s="277">
        <f t="shared" si="0"/>
        <v>10288.333333333334</v>
      </c>
      <c r="G13" s="277">
        <f t="shared" si="0"/>
        <v>201860.41666666666</v>
      </c>
      <c r="H13" s="277">
        <f t="shared" si="0"/>
        <v>15432.5</v>
      </c>
      <c r="I13" s="277">
        <f t="shared" si="0"/>
        <v>20576.666666666668</v>
      </c>
      <c r="J13" s="277">
        <f t="shared" si="0"/>
        <v>20576.666666666668</v>
      </c>
      <c r="K13" s="277">
        <f t="shared" si="0"/>
        <v>18004.583333333336</v>
      </c>
      <c r="L13" s="277">
        <f t="shared" si="0"/>
        <v>18004.583333333336</v>
      </c>
      <c r="M13" s="277">
        <f t="shared" si="0"/>
        <v>10288.333333333334</v>
      </c>
      <c r="N13" s="277">
        <f t="shared" si="0"/>
        <v>10288.333333333334</v>
      </c>
      <c r="O13" s="287">
        <f>SUM(B13:N13)</f>
        <v>514320.41666666663</v>
      </c>
    </row>
    <row r="14" spans="1:15" ht="14.25" customHeight="1" x14ac:dyDescent="0.35">
      <c r="B14" s="277"/>
      <c r="C14" s="277"/>
      <c r="D14" s="277"/>
      <c r="E14" s="277"/>
      <c r="F14" s="277"/>
      <c r="G14" s="277"/>
      <c r="H14" s="277"/>
      <c r="I14" s="277"/>
      <c r="J14" s="277"/>
      <c r="K14" s="277"/>
      <c r="L14" s="277"/>
      <c r="M14" s="277"/>
      <c r="N14" s="277"/>
      <c r="O14" s="287"/>
    </row>
    <row r="15" spans="1:15" ht="15" customHeight="1" x14ac:dyDescent="0.35">
      <c r="A15" s="102" t="s">
        <v>261</v>
      </c>
      <c r="B15" s="277"/>
      <c r="C15" s="277"/>
      <c r="D15" s="277"/>
      <c r="E15" s="277"/>
      <c r="F15" s="277"/>
      <c r="G15" s="277"/>
      <c r="H15" s="277"/>
      <c r="I15" s="277"/>
      <c r="J15" s="277"/>
      <c r="K15" s="277"/>
      <c r="L15" s="277"/>
      <c r="M15" s="277"/>
      <c r="N15" s="277"/>
      <c r="O15" s="287"/>
    </row>
    <row r="16" spans="1:15" ht="15" customHeight="1" x14ac:dyDescent="0.35">
      <c r="A16" t="s">
        <v>262</v>
      </c>
      <c r="B16" s="277">
        <f>'Frais de lancement'!B9</f>
        <v>3803</v>
      </c>
      <c r="C16" s="277">
        <v>0</v>
      </c>
      <c r="D16" s="277">
        <v>0</v>
      </c>
      <c r="E16" s="277">
        <v>0</v>
      </c>
      <c r="F16" s="277">
        <v>0</v>
      </c>
      <c r="G16" s="277">
        <v>0</v>
      </c>
      <c r="H16" s="277">
        <v>0</v>
      </c>
      <c r="I16" s="277">
        <v>0</v>
      </c>
      <c r="J16" s="277">
        <v>0</v>
      </c>
      <c r="K16" s="277">
        <v>0</v>
      </c>
      <c r="L16" s="277">
        <v>0</v>
      </c>
      <c r="M16" s="277">
        <v>0</v>
      </c>
      <c r="N16" s="277">
        <v>0</v>
      </c>
      <c r="O16" s="287">
        <f t="shared" ref="O16:O27" si="1">SUM(B16:N16)</f>
        <v>3803</v>
      </c>
    </row>
    <row r="17" spans="1:15" ht="15" customHeight="1" x14ac:dyDescent="0.35">
      <c r="A17" t="s">
        <v>263</v>
      </c>
      <c r="B17" s="277">
        <v>0</v>
      </c>
      <c r="C17" s="277">
        <f>'Charges Fixes Plume'!G34</f>
        <v>10000</v>
      </c>
      <c r="D17" s="277">
        <f>'Charges Fixes Plume'!H34</f>
        <v>0</v>
      </c>
      <c r="E17" s="277">
        <f>'Charges Fixes Plume'!I34</f>
        <v>0</v>
      </c>
      <c r="F17" s="277">
        <f>'Charges Fixes Plume'!J34</f>
        <v>0</v>
      </c>
      <c r="G17" s="277">
        <f>'Charges Fixes Plume'!K34</f>
        <v>2517.1019999999999</v>
      </c>
      <c r="H17" s="277">
        <f>'Charges Fixes Plume'!L34</f>
        <v>2517.1019999999999</v>
      </c>
      <c r="I17" s="277">
        <f>'Charges Fixes Plume'!M34</f>
        <v>2517.1019999999999</v>
      </c>
      <c r="J17" s="277">
        <f>'Charges Fixes Plume'!N34</f>
        <v>2517.1019999999999</v>
      </c>
      <c r="K17" s="277">
        <f>'Charges Fixes Plume'!O34</f>
        <v>2517.1019999999999</v>
      </c>
      <c r="L17" s="277">
        <f>'Charges Fixes Plume'!P34</f>
        <v>2517.1019999999999</v>
      </c>
      <c r="M17" s="277">
        <f>'Charges Fixes Plume'!Q34</f>
        <v>2517.1019999999999</v>
      </c>
      <c r="N17" s="277">
        <f>'Charges Fixes Plume'!R34</f>
        <v>2517.1019999999999</v>
      </c>
      <c r="O17" s="287">
        <f t="shared" si="1"/>
        <v>30136.815999999992</v>
      </c>
    </row>
    <row r="18" spans="1:15" ht="15" customHeight="1" x14ac:dyDescent="0.35">
      <c r="A18" t="s">
        <v>105</v>
      </c>
      <c r="B18" s="277">
        <v>0</v>
      </c>
      <c r="C18" s="277">
        <v>2500</v>
      </c>
      <c r="D18" s="277">
        <v>0</v>
      </c>
      <c r="E18" s="277">
        <v>0</v>
      </c>
      <c r="F18" s="277">
        <v>0</v>
      </c>
      <c r="G18" s="277">
        <v>0</v>
      </c>
      <c r="H18" s="277">
        <v>0</v>
      </c>
      <c r="I18" s="277">
        <v>2500</v>
      </c>
      <c r="J18" s="277">
        <v>0</v>
      </c>
      <c r="K18" s="277">
        <v>0</v>
      </c>
      <c r="L18" s="277">
        <v>0</v>
      </c>
      <c r="M18" s="277">
        <v>0</v>
      </c>
      <c r="N18" s="277">
        <v>0</v>
      </c>
      <c r="O18" s="287">
        <f t="shared" si="1"/>
        <v>5000</v>
      </c>
    </row>
    <row r="19" spans="1:15" ht="15" customHeight="1" x14ac:dyDescent="0.35">
      <c r="A19" t="s">
        <v>21</v>
      </c>
      <c r="B19" s="277">
        <f>'Charges Fixes Plume'!R$13/2</f>
        <v>2170.8333333333335</v>
      </c>
      <c r="C19" s="277">
        <f>'Charges Fixes Plume'!G13</f>
        <v>10907.666666666668</v>
      </c>
      <c r="D19" s="277">
        <f>'Charges Fixes Plume'!H13</f>
        <v>6341.666666666667</v>
      </c>
      <c r="E19" s="277">
        <f>'Charges Fixes Plume'!I13</f>
        <v>10907.666666666668</v>
      </c>
      <c r="F19" s="277">
        <f>'Charges Fixes Plume'!J13</f>
        <v>4341.666666666667</v>
      </c>
      <c r="G19" s="277">
        <f>'Charges Fixes Plume'!K13</f>
        <v>8907.6666666666679</v>
      </c>
      <c r="H19" s="277">
        <f>'Charges Fixes Plume'!L13</f>
        <v>4341.666666666667</v>
      </c>
      <c r="I19" s="277">
        <f>'Charges Fixes Plume'!M13</f>
        <v>7907.666666666667</v>
      </c>
      <c r="J19" s="277">
        <f>'Charges Fixes Plume'!N13</f>
        <v>3341.666666666667</v>
      </c>
      <c r="K19" s="277">
        <f>'Charges Fixes Plume'!O13</f>
        <v>8907.6666666666679</v>
      </c>
      <c r="L19" s="277">
        <f>'Charges Fixes Plume'!P13</f>
        <v>4341.666666666667</v>
      </c>
      <c r="M19" s="277">
        <f>'Charges Fixes Plume'!Q13</f>
        <v>8907.6666666666679</v>
      </c>
      <c r="N19" s="277">
        <f>'Charges Fixes Plume'!R13</f>
        <v>4341.666666666667</v>
      </c>
      <c r="O19" s="287">
        <f>SUM(B19:N19)</f>
        <v>85666.833333333343</v>
      </c>
    </row>
    <row r="20" spans="1:15" ht="15" customHeight="1" x14ac:dyDescent="0.35">
      <c r="A20" s="323" t="s">
        <v>498</v>
      </c>
      <c r="B20" s="277"/>
      <c r="C20" s="277"/>
      <c r="D20" s="277"/>
      <c r="E20" s="277"/>
      <c r="F20" s="277"/>
      <c r="G20" s="277"/>
      <c r="H20" s="277"/>
      <c r="I20" s="277"/>
      <c r="J20" s="277"/>
      <c r="K20" s="277"/>
      <c r="L20" s="277"/>
      <c r="M20" s="277"/>
      <c r="N20" s="277"/>
      <c r="O20" s="287"/>
    </row>
    <row r="21" spans="1:15" ht="15" customHeight="1" x14ac:dyDescent="0.35">
      <c r="A21" t="s">
        <v>264</v>
      </c>
      <c r="B21" s="277">
        <f>'Charges Fixes Plume'!R$29/2</f>
        <v>1728.6499999999999</v>
      </c>
      <c r="C21" s="277">
        <f>'Charges Fixes Plume'!G29</f>
        <v>9057.2999999999993</v>
      </c>
      <c r="D21" s="277">
        <f>'Charges Fixes Plume'!H29</f>
        <v>3977.2999999999997</v>
      </c>
      <c r="E21" s="277">
        <f>'Charges Fixes Plume'!I29</f>
        <v>3407.2999999999997</v>
      </c>
      <c r="F21" s="277">
        <f>'Charges Fixes Plume'!J29</f>
        <v>4407.2999999999993</v>
      </c>
      <c r="G21" s="277">
        <f>'Charges Fixes Plume'!K29</f>
        <v>3407.2999999999997</v>
      </c>
      <c r="H21" s="277">
        <f>'Charges Fixes Plume'!L29</f>
        <v>3407.2999999999997</v>
      </c>
      <c r="I21" s="277">
        <f>'Charges Fixes Plume'!M29</f>
        <v>4407.2999999999993</v>
      </c>
      <c r="J21" s="277">
        <f>'Charges Fixes Plume'!N29</f>
        <v>3407.2999999999997</v>
      </c>
      <c r="K21" s="277">
        <f>'Charges Fixes Plume'!O29</f>
        <v>3407.2999999999997</v>
      </c>
      <c r="L21" s="277">
        <f>'Charges Fixes Plume'!P29</f>
        <v>4407.2999999999993</v>
      </c>
      <c r="M21" s="277">
        <f>'Charges Fixes Plume'!Q29</f>
        <v>3407.2999999999997</v>
      </c>
      <c r="N21" s="277">
        <f>'Charges Fixes Plume'!R29</f>
        <v>3457.2999999999997</v>
      </c>
      <c r="O21" s="287">
        <f t="shared" si="1"/>
        <v>51886.250000000015</v>
      </c>
    </row>
    <row r="22" spans="1:15" ht="15" customHeight="1" x14ac:dyDescent="0.35">
      <c r="A22" t="s">
        <v>265</v>
      </c>
      <c r="B22" s="277">
        <v>0</v>
      </c>
      <c r="C22" s="277">
        <v>0</v>
      </c>
      <c r="D22" s="277">
        <v>0</v>
      </c>
      <c r="E22" s="277">
        <f>'Charges Fixes Plume'!C36*4</f>
        <v>5034.2039999999997</v>
      </c>
      <c r="F22" s="277">
        <v>0</v>
      </c>
      <c r="G22" s="277">
        <f>4*'Charges Fixes Plume'!$C$36</f>
        <v>5034.2039999999997</v>
      </c>
      <c r="H22" s="277">
        <v>0</v>
      </c>
      <c r="I22" s="277">
        <v>0</v>
      </c>
      <c r="J22" s="277"/>
      <c r="K22" s="277">
        <v>0</v>
      </c>
      <c r="L22" s="277">
        <v>0</v>
      </c>
      <c r="M22" s="277">
        <v>0</v>
      </c>
      <c r="N22" s="277">
        <v>0</v>
      </c>
      <c r="O22" s="287">
        <f t="shared" si="1"/>
        <v>10068.407999999999</v>
      </c>
    </row>
    <row r="23" spans="1:15" ht="15" customHeight="1" x14ac:dyDescent="0.35">
      <c r="A23" t="s">
        <v>266</v>
      </c>
      <c r="B23" s="277">
        <v>0</v>
      </c>
      <c r="C23" s="277">
        <v>0</v>
      </c>
      <c r="D23" s="277">
        <v>0</v>
      </c>
      <c r="E23" s="277"/>
      <c r="F23" s="277">
        <v>11172</v>
      </c>
      <c r="G23" s="277">
        <v>0</v>
      </c>
      <c r="H23" s="277">
        <f>'Charges Fixes Plume'!C37</f>
        <v>13669</v>
      </c>
      <c r="I23" s="277">
        <v>0</v>
      </c>
      <c r="J23" s="277"/>
      <c r="K23" s="277">
        <v>0</v>
      </c>
      <c r="L23" s="277">
        <v>0</v>
      </c>
      <c r="M23" s="277">
        <v>0</v>
      </c>
      <c r="N23" s="277">
        <v>0</v>
      </c>
      <c r="O23" s="287">
        <f t="shared" si="1"/>
        <v>24841</v>
      </c>
    </row>
    <row r="24" spans="1:15" ht="15" customHeight="1" x14ac:dyDescent="0.35">
      <c r="A24" s="279" t="s">
        <v>461</v>
      </c>
      <c r="B24" s="280">
        <v>0</v>
      </c>
      <c r="C24" s="280">
        <f>C34*'Marges Produits'!$E$49</f>
        <v>0</v>
      </c>
      <c r="D24" s="280">
        <f>D34*'Marges Produits'!$E$49</f>
        <v>0</v>
      </c>
      <c r="E24" s="280">
        <f>E34*'Marges Produits'!$E$49</f>
        <v>0</v>
      </c>
      <c r="F24" s="280">
        <f>F34*'Marges Produits'!$E$49</f>
        <v>7341.5475000000006</v>
      </c>
      <c r="G24" s="280">
        <f>G34*'Marges Produits'!$E$49</f>
        <v>14683.095000000001</v>
      </c>
      <c r="H24" s="280">
        <f>H34*'Marges Produits'!$E$49</f>
        <v>14683.095000000001</v>
      </c>
      <c r="I24" s="280">
        <f>I34*'Marges Produits'!$E$49</f>
        <v>13634.3025</v>
      </c>
      <c r="J24" s="280">
        <f>J34*'Marges Produits'!$E$49</f>
        <v>7341.5475000000006</v>
      </c>
      <c r="K24" s="280">
        <f>K34*'Marges Produits'!$E$49</f>
        <v>5243.9624999999996</v>
      </c>
      <c r="L24" s="280">
        <f>L34*'Marges Produits'!$E$49</f>
        <v>4195.17</v>
      </c>
      <c r="M24" s="280">
        <f>M34*'Marges Produits'!$E$49</f>
        <v>0</v>
      </c>
      <c r="N24" s="280">
        <f>N34*'Marges Produits'!$E$49</f>
        <v>0</v>
      </c>
      <c r="O24" s="287">
        <f t="shared" si="1"/>
        <v>67122.720000000001</v>
      </c>
    </row>
    <row r="25" spans="1:15" ht="15" customHeight="1" x14ac:dyDescent="0.35">
      <c r="A25" t="s">
        <v>267</v>
      </c>
      <c r="B25" s="277">
        <v>0</v>
      </c>
      <c r="C25" s="277">
        <v>0</v>
      </c>
      <c r="D25" s="277">
        <v>0</v>
      </c>
      <c r="E25" s="277">
        <v>0</v>
      </c>
      <c r="F25" s="277"/>
      <c r="G25" s="277">
        <f>'Emprunt Bancaire'!$B$27</f>
        <v>4367</v>
      </c>
      <c r="H25" s="277">
        <f>'Emprunt Bancaire'!$B$27</f>
        <v>4367</v>
      </c>
      <c r="I25" s="277">
        <f>'Emprunt Bancaire'!$B$27</f>
        <v>4367</v>
      </c>
      <c r="J25" s="277">
        <f>'Emprunt Bancaire'!$B$27</f>
        <v>4367</v>
      </c>
      <c r="K25" s="277">
        <f>'Emprunt Bancaire'!$B$27</f>
        <v>4367</v>
      </c>
      <c r="L25" s="277">
        <f>'Emprunt Bancaire'!$B$27</f>
        <v>4367</v>
      </c>
      <c r="M25" s="277">
        <f>'Emprunt Bancaire'!$B$27</f>
        <v>4367</v>
      </c>
      <c r="N25" s="277">
        <f>'Emprunt Bancaire'!$B$27</f>
        <v>4367</v>
      </c>
      <c r="O25" s="287">
        <f t="shared" si="1"/>
        <v>34936</v>
      </c>
    </row>
    <row r="26" spans="1:15" ht="14.25" customHeight="1" x14ac:dyDescent="0.35">
      <c r="A26" t="s">
        <v>268</v>
      </c>
      <c r="B26" s="277">
        <f t="shared" ref="B26:N26" si="2">B12*0.008</f>
        <v>0</v>
      </c>
      <c r="C26" s="277">
        <f t="shared" si="2"/>
        <v>0</v>
      </c>
      <c r="D26" s="277">
        <f t="shared" si="2"/>
        <v>0</v>
      </c>
      <c r="E26" s="277">
        <f t="shared" si="2"/>
        <v>0</v>
      </c>
      <c r="F26" s="277">
        <f t="shared" si="2"/>
        <v>82.306666666666672</v>
      </c>
      <c r="G26" s="277">
        <f t="shared" si="2"/>
        <v>102.88333333333334</v>
      </c>
      <c r="H26" s="277">
        <f t="shared" si="2"/>
        <v>123.46000000000001</v>
      </c>
      <c r="I26" s="277">
        <f t="shared" si="2"/>
        <v>164.61333333333334</v>
      </c>
      <c r="J26" s="277">
        <f t="shared" si="2"/>
        <v>164.61333333333334</v>
      </c>
      <c r="K26" s="277">
        <f t="shared" si="2"/>
        <v>144.03666666666669</v>
      </c>
      <c r="L26" s="277">
        <f t="shared" si="2"/>
        <v>144.03666666666669</v>
      </c>
      <c r="M26" s="277">
        <f t="shared" si="2"/>
        <v>82.306666666666672</v>
      </c>
      <c r="N26" s="277">
        <f t="shared" si="2"/>
        <v>82.306666666666672</v>
      </c>
      <c r="O26" s="287">
        <f t="shared" si="1"/>
        <v>1090.5633333333333</v>
      </c>
    </row>
    <row r="27" spans="1:15" ht="15" customHeight="1" x14ac:dyDescent="0.35">
      <c r="A27" t="s">
        <v>269</v>
      </c>
      <c r="B27" s="277">
        <f t="array" ref="B27">SUM(B16:B26*0.15)</f>
        <v>1155.3724999999999</v>
      </c>
      <c r="C27" s="277">
        <f t="array" ref="C27">SUM(C16:C26*0.15)</f>
        <v>4869.7449999999999</v>
      </c>
      <c r="D27" s="277">
        <f t="array" ref="D27">SUM(D16:D26*0.15)</f>
        <v>1547.8449999999998</v>
      </c>
      <c r="E27" s="277">
        <f t="array" ref="E27">SUM(E16:E26*0.15)</f>
        <v>2902.3755999999998</v>
      </c>
      <c r="F27" s="277">
        <f t="array" ref="F27">SUM(F16:F26*0.15)</f>
        <v>4101.7231249999995</v>
      </c>
      <c r="G27" s="277">
        <f t="array" ref="G27">SUM(G16:G26*0.15)</f>
        <v>5852.8876500000006</v>
      </c>
      <c r="H27" s="277">
        <f t="array" ref="H27">SUM(H16:H26*0.15)</f>
        <v>6466.2935500000003</v>
      </c>
      <c r="I27" s="277">
        <f t="array" ref="I27">SUM(I16:I26*0.15)</f>
        <v>5324.6976750000003</v>
      </c>
      <c r="J27" s="277">
        <f t="array" ref="J27">SUM(J16:J26*0.15)</f>
        <v>3170.8844250000002</v>
      </c>
      <c r="K27" s="277">
        <f t="array" ref="K27">SUM(K16:K26*0.15)</f>
        <v>3688.0601750000001</v>
      </c>
      <c r="L27" s="277">
        <f t="array" ref="L27">SUM(L16:L26*0.15)</f>
        <v>2995.8413000000005</v>
      </c>
      <c r="M27" s="277">
        <f t="array" ref="M27">SUM(M16:M26*0.15)</f>
        <v>2892.2063000000003</v>
      </c>
      <c r="N27" s="277">
        <f t="array" ref="N27">SUM(N16:N26*0.15)</f>
        <v>2214.8062999999997</v>
      </c>
      <c r="O27" s="287">
        <f t="shared" si="1"/>
        <v>47182.73859999999</v>
      </c>
    </row>
    <row r="28" spans="1:15" ht="14.25" customHeight="1" x14ac:dyDescent="0.35">
      <c r="A28" s="33" t="s">
        <v>270</v>
      </c>
      <c r="B28" s="277">
        <f t="shared" ref="B28:N28" si="3">SUM(B16:B27)</f>
        <v>8857.8558333333331</v>
      </c>
      <c r="C28" s="277">
        <f t="shared" si="3"/>
        <v>37334.71166666667</v>
      </c>
      <c r="D28" s="277">
        <f t="shared" si="3"/>
        <v>11866.811666666666</v>
      </c>
      <c r="E28" s="277">
        <f t="shared" si="3"/>
        <v>22251.546266666664</v>
      </c>
      <c r="F28" s="277">
        <f t="shared" si="3"/>
        <v>31446.543958333335</v>
      </c>
      <c r="G28" s="277">
        <f t="shared" si="3"/>
        <v>44872.138649999994</v>
      </c>
      <c r="H28" s="277">
        <f t="shared" si="3"/>
        <v>49574.917216666669</v>
      </c>
      <c r="I28" s="277">
        <f t="shared" si="3"/>
        <v>40822.682175000002</v>
      </c>
      <c r="J28" s="277">
        <f t="shared" si="3"/>
        <v>24310.113925000001</v>
      </c>
      <c r="K28" s="277">
        <f t="shared" si="3"/>
        <v>28275.128008333333</v>
      </c>
      <c r="L28" s="277">
        <f t="shared" si="3"/>
        <v>22968.116633333331</v>
      </c>
      <c r="M28" s="277">
        <f t="shared" si="3"/>
        <v>22173.581633333335</v>
      </c>
      <c r="N28" s="277">
        <f t="shared" si="3"/>
        <v>16980.181633333334</v>
      </c>
      <c r="O28" s="288">
        <f>SUM(B28:N28)</f>
        <v>361734.32926666667</v>
      </c>
    </row>
    <row r="29" spans="1:15" ht="15" customHeight="1" x14ac:dyDescent="0.35">
      <c r="B29" s="277"/>
      <c r="C29" s="277"/>
      <c r="D29" s="277"/>
      <c r="E29" s="277"/>
      <c r="F29" s="277"/>
      <c r="G29" s="277"/>
      <c r="H29" s="277"/>
      <c r="I29" s="277"/>
      <c r="J29" s="277"/>
      <c r="K29" s="277"/>
      <c r="L29" s="277"/>
      <c r="M29" s="277"/>
      <c r="N29" s="277"/>
      <c r="O29" s="287"/>
    </row>
    <row r="30" spans="1:15" ht="15" customHeight="1" x14ac:dyDescent="0.35">
      <c r="A30" s="33" t="s">
        <v>271</v>
      </c>
      <c r="B30" s="277">
        <f t="shared" ref="B30:N30" si="4">B13-B28</f>
        <v>91142.144166666665</v>
      </c>
      <c r="C30" s="277">
        <f t="shared" si="4"/>
        <v>51665.28833333333</v>
      </c>
      <c r="D30" s="277">
        <f t="shared" si="4"/>
        <v>-11866.811666666666</v>
      </c>
      <c r="E30" s="277">
        <f t="shared" si="4"/>
        <v>-22251.546266666664</v>
      </c>
      <c r="F30" s="277">
        <f>F13-F28</f>
        <v>-21158.210625</v>
      </c>
      <c r="G30" s="277">
        <f t="shared" si="4"/>
        <v>156988.27801666665</v>
      </c>
      <c r="H30" s="277">
        <f t="shared" si="4"/>
        <v>-34142.417216666669</v>
      </c>
      <c r="I30" s="277">
        <f t="shared" si="4"/>
        <v>-20246.015508333334</v>
      </c>
      <c r="J30" s="277">
        <f t="shared" si="4"/>
        <v>-3733.4472583333336</v>
      </c>
      <c r="K30" s="277">
        <f t="shared" si="4"/>
        <v>-10270.544674999997</v>
      </c>
      <c r="L30" s="277">
        <f t="shared" si="4"/>
        <v>-4963.5332999999955</v>
      </c>
      <c r="M30" s="277">
        <f t="shared" si="4"/>
        <v>-11885.248300000001</v>
      </c>
      <c r="N30" s="277">
        <f t="shared" si="4"/>
        <v>-6691.8482999999997</v>
      </c>
      <c r="O30" s="288">
        <f>SUM(C30:N30)</f>
        <v>61443.94323333331</v>
      </c>
    </row>
    <row r="31" spans="1:15" ht="14.25" customHeight="1" x14ac:dyDescent="0.35">
      <c r="A31" s="104" t="s">
        <v>272</v>
      </c>
      <c r="B31" s="277">
        <f>B30</f>
        <v>91142.144166666665</v>
      </c>
      <c r="C31" s="277">
        <f t="shared" ref="C31:N31" si="5">B31+C30</f>
        <v>142807.4325</v>
      </c>
      <c r="D31" s="277">
        <f t="shared" si="5"/>
        <v>130940.62083333333</v>
      </c>
      <c r="E31" s="277">
        <f t="shared" si="5"/>
        <v>108689.07456666668</v>
      </c>
      <c r="F31" s="277">
        <f t="shared" si="5"/>
        <v>87530.86394166667</v>
      </c>
      <c r="G31" s="277">
        <f t="shared" si="5"/>
        <v>244519.14195833332</v>
      </c>
      <c r="H31" s="277">
        <f t="shared" si="5"/>
        <v>210376.72474166664</v>
      </c>
      <c r="I31" s="277">
        <f t="shared" si="5"/>
        <v>190130.7092333333</v>
      </c>
      <c r="J31" s="277">
        <f t="shared" si="5"/>
        <v>186397.26197499997</v>
      </c>
      <c r="K31" s="277">
        <f t="shared" si="5"/>
        <v>176126.71729999996</v>
      </c>
      <c r="L31" s="277">
        <f t="shared" si="5"/>
        <v>171163.18399999995</v>
      </c>
      <c r="M31" s="277">
        <f t="shared" si="5"/>
        <v>159277.93569999994</v>
      </c>
      <c r="N31" s="277">
        <f t="shared" si="5"/>
        <v>152586.08739999993</v>
      </c>
      <c r="O31" s="287"/>
    </row>
    <row r="32" spans="1:15" ht="15" customHeight="1" x14ac:dyDescent="0.35">
      <c r="O32" s="286"/>
    </row>
    <row r="33" spans="1:61" ht="15" customHeight="1" x14ac:dyDescent="0.35">
      <c r="A33" s="106" t="s">
        <v>273</v>
      </c>
      <c r="O33" s="286"/>
    </row>
    <row r="34" spans="1:61" ht="15" customHeight="1" x14ac:dyDescent="0.35">
      <c r="A34" t="s">
        <v>274</v>
      </c>
      <c r="B34">
        <f>ROUND(('-30% Plan Trésorerie Mensuel '!$F$2*'Plan Trésorerie Mensuel'!B34),0)</f>
        <v>0</v>
      </c>
      <c r="C34">
        <f>ROUND(('-30% Plan Trésorerie Mensuel '!$F$2*'Plan Trésorerie Mensuel'!C34),0)</f>
        <v>0</v>
      </c>
      <c r="D34">
        <f>ROUND(('-30% Plan Trésorerie Mensuel '!$F$2*'Plan Trésorerie Mensuel'!D34),0)</f>
        <v>0</v>
      </c>
      <c r="E34">
        <f>ROUND(('-30% Plan Trésorerie Mensuel '!$F$2*'Plan Trésorerie Mensuel'!E34),0)</f>
        <v>0</v>
      </c>
      <c r="F34">
        <f>ROUND(('-30% Plan Trésorerie Mensuel '!$F$2*'Plan Trésorerie Mensuel'!F34),0)</f>
        <v>7</v>
      </c>
      <c r="G34">
        <f>ROUND(('-30% Plan Trésorerie Mensuel '!$F$2*'Plan Trésorerie Mensuel'!G34),0)</f>
        <v>14</v>
      </c>
      <c r="H34">
        <f>ROUND(('-30% Plan Trésorerie Mensuel '!$F$2*'Plan Trésorerie Mensuel'!H34),0)</f>
        <v>14</v>
      </c>
      <c r="I34">
        <f>ROUND(('-30% Plan Trésorerie Mensuel '!$F$2*'Plan Trésorerie Mensuel'!I34),0)</f>
        <v>13</v>
      </c>
      <c r="J34">
        <f>ROUND(('-30% Plan Trésorerie Mensuel '!$F$2*'Plan Trésorerie Mensuel'!J34),0)</f>
        <v>7</v>
      </c>
      <c r="K34">
        <f>ROUND(('-30% Plan Trésorerie Mensuel '!$F$2*'Plan Trésorerie Mensuel'!K34),0)</f>
        <v>5</v>
      </c>
      <c r="L34">
        <f>ROUND(('-30% Plan Trésorerie Mensuel '!$F$2*'Plan Trésorerie Mensuel'!L34),0)</f>
        <v>4</v>
      </c>
      <c r="M34">
        <f>ROUND(('-30% Plan Trésorerie Mensuel '!$F$2*'Plan Trésorerie Mensuel'!M34),0)</f>
        <v>0</v>
      </c>
      <c r="N34">
        <f>ROUND(('-30% Plan Trésorerie Mensuel '!$F$2*'Plan Trésorerie Mensuel'!N34),0)</f>
        <v>0</v>
      </c>
      <c r="O34" s="286">
        <f>SUM(B34:N34)</f>
        <v>64</v>
      </c>
    </row>
    <row r="35" spans="1:61" ht="15" customHeight="1" x14ac:dyDescent="0.35">
      <c r="A35" t="s">
        <v>275</v>
      </c>
      <c r="B35">
        <f>ROUND(('-30% Plan Trésorerie Mensuel '!$F$2*'Plan Trésorerie Mensuel'!B35),0)</f>
        <v>0</v>
      </c>
      <c r="C35">
        <f>ROUND(('-30% Plan Trésorerie Mensuel '!$F$2*'Plan Trésorerie Mensuel'!C35),0)</f>
        <v>0</v>
      </c>
      <c r="D35">
        <f>ROUND(('-30% Plan Trésorerie Mensuel '!$F$2*'Plan Trésorerie Mensuel'!D35),0)</f>
        <v>0</v>
      </c>
      <c r="E35">
        <f>ROUND(('-30% Plan Trésorerie Mensuel '!$F$2*'Plan Trésorerie Mensuel'!E35),0)</f>
        <v>0</v>
      </c>
      <c r="F35">
        <f>ROUND(('-30% Plan Trésorerie Mensuel '!$F$2*'Plan Trésorerie Mensuel'!F35),0)</f>
        <v>4</v>
      </c>
      <c r="G35">
        <f>ROUND(('-30% Plan Trésorerie Mensuel '!$F$2*'Plan Trésorerie Mensuel'!G35),0)</f>
        <v>5</v>
      </c>
      <c r="H35">
        <f>ROUND(('-30% Plan Trésorerie Mensuel '!$F$2*'Plan Trésorerie Mensuel'!H35),0)</f>
        <v>6</v>
      </c>
      <c r="I35">
        <f>ROUND(('-30% Plan Trésorerie Mensuel '!$F$2*'Plan Trésorerie Mensuel'!I35),0)</f>
        <v>8</v>
      </c>
      <c r="J35">
        <f>ROUND(('-30% Plan Trésorerie Mensuel '!$F$2*'Plan Trésorerie Mensuel'!J35),0)</f>
        <v>8</v>
      </c>
      <c r="K35">
        <f>ROUND(('-30% Plan Trésorerie Mensuel '!$F$2*'Plan Trésorerie Mensuel'!K35),0)</f>
        <v>7</v>
      </c>
      <c r="L35">
        <f>ROUND(('-30% Plan Trésorerie Mensuel '!$F$2*'Plan Trésorerie Mensuel'!L35),0)</f>
        <v>7</v>
      </c>
      <c r="M35">
        <f>ROUND(('-30% Plan Trésorerie Mensuel '!$F$2*'Plan Trésorerie Mensuel'!M35),0)</f>
        <v>4</v>
      </c>
      <c r="N35">
        <f>ROUND(('-30% Plan Trésorerie Mensuel '!$F$2*'Plan Trésorerie Mensuel'!N35),0)</f>
        <v>4</v>
      </c>
      <c r="O35" s="286">
        <f>SUM(B35:N35)</f>
        <v>53</v>
      </c>
    </row>
    <row r="36" spans="1:61" ht="14.25" customHeight="1" x14ac:dyDescent="0.35">
      <c r="A36" t="s">
        <v>276</v>
      </c>
      <c r="B36">
        <v>0</v>
      </c>
      <c r="C36">
        <f t="shared" ref="C36:N36" si="6">(C34+B36)-C35</f>
        <v>0</v>
      </c>
      <c r="D36">
        <f t="shared" si="6"/>
        <v>0</v>
      </c>
      <c r="E36">
        <f t="shared" si="6"/>
        <v>0</v>
      </c>
      <c r="F36">
        <f t="shared" si="6"/>
        <v>3</v>
      </c>
      <c r="G36">
        <f t="shared" si="6"/>
        <v>12</v>
      </c>
      <c r="H36">
        <f t="shared" si="6"/>
        <v>20</v>
      </c>
      <c r="I36">
        <f t="shared" si="6"/>
        <v>25</v>
      </c>
      <c r="J36">
        <f t="shared" si="6"/>
        <v>24</v>
      </c>
      <c r="K36">
        <f t="shared" si="6"/>
        <v>22</v>
      </c>
      <c r="L36">
        <f t="shared" si="6"/>
        <v>19</v>
      </c>
      <c r="M36">
        <f t="shared" si="6"/>
        <v>15</v>
      </c>
      <c r="N36">
        <f t="shared" si="6"/>
        <v>11</v>
      </c>
      <c r="O36" s="286"/>
    </row>
    <row r="38" spans="1:61" ht="15" customHeight="1" x14ac:dyDescent="0.35">
      <c r="B38" s="451"/>
      <c r="C38" s="451"/>
      <c r="D38" s="451"/>
      <c r="E38" s="451"/>
      <c r="F38" s="451"/>
      <c r="G38" s="451"/>
      <c r="H38" s="451"/>
      <c r="I38" s="451"/>
      <c r="J38" s="451"/>
      <c r="K38" s="451"/>
      <c r="L38" s="451"/>
      <c r="M38" s="451"/>
      <c r="N38" s="451"/>
      <c r="O38" s="451"/>
      <c r="P38" s="451"/>
      <c r="Q38" s="451"/>
      <c r="R38" s="451"/>
      <c r="S38" s="451"/>
      <c r="T38" s="451"/>
      <c r="U38" s="451"/>
      <c r="V38" s="451"/>
      <c r="W38" s="451"/>
      <c r="X38" s="451"/>
      <c r="Y38" s="451"/>
      <c r="Z38" s="451"/>
      <c r="AA38" s="451"/>
      <c r="AB38" s="451"/>
      <c r="AC38" s="451"/>
      <c r="AD38" s="451"/>
      <c r="AE38" s="451"/>
      <c r="AF38" s="451"/>
      <c r="AG38" s="451"/>
      <c r="AH38" s="451"/>
      <c r="AI38" s="451"/>
      <c r="AJ38" s="451"/>
      <c r="AK38" s="451"/>
      <c r="AL38" s="451"/>
      <c r="AM38" s="451"/>
      <c r="AN38" s="451"/>
      <c r="AO38" s="451"/>
      <c r="AP38" s="451"/>
      <c r="AQ38" s="451"/>
      <c r="AR38" s="451"/>
      <c r="AS38" s="451"/>
      <c r="AT38" s="451"/>
      <c r="AU38" s="451"/>
      <c r="AV38" s="451"/>
      <c r="AW38" s="451"/>
      <c r="AX38" s="451"/>
      <c r="AY38" s="451"/>
      <c r="AZ38" s="451"/>
      <c r="BA38" s="451"/>
      <c r="BB38" s="451"/>
      <c r="BC38" s="451"/>
      <c r="BD38" s="451"/>
      <c r="BE38" s="451"/>
      <c r="BF38" s="451"/>
      <c r="BG38" s="451"/>
      <c r="BH38" s="451"/>
      <c r="BI38" s="451"/>
    </row>
    <row r="39" spans="1:61" ht="15" customHeight="1" x14ac:dyDescent="0.35">
      <c r="A39" s="86" t="s">
        <v>277</v>
      </c>
      <c r="B39" s="289" t="s">
        <v>277</v>
      </c>
      <c r="C39" s="107"/>
      <c r="D39" s="107"/>
      <c r="E39" s="107"/>
      <c r="F39" s="107"/>
      <c r="G39" s="107"/>
      <c r="H39" s="107"/>
      <c r="I39" s="107"/>
      <c r="J39" s="107"/>
      <c r="K39" s="107"/>
      <c r="L39" s="107"/>
      <c r="M39" s="108"/>
      <c r="N39" s="289" t="s">
        <v>278</v>
      </c>
      <c r="O39" s="107"/>
      <c r="P39" s="107"/>
      <c r="Q39" s="107"/>
      <c r="R39" s="107"/>
      <c r="S39" s="107"/>
      <c r="T39" s="107"/>
      <c r="U39" s="107"/>
      <c r="V39" s="107"/>
      <c r="W39" s="107"/>
      <c r="X39" s="107"/>
      <c r="Y39" s="108"/>
      <c r="Z39" s="289" t="s">
        <v>279</v>
      </c>
      <c r="AA39" s="107"/>
      <c r="AB39" s="107"/>
      <c r="AC39" s="107"/>
      <c r="AD39" s="107"/>
      <c r="AE39" s="107"/>
      <c r="AF39" s="107"/>
      <c r="AG39" s="107"/>
      <c r="AH39" s="107"/>
      <c r="AI39" s="107"/>
      <c r="AJ39" s="107"/>
      <c r="AK39" s="108"/>
      <c r="AL39" s="289" t="s">
        <v>280</v>
      </c>
      <c r="AM39" s="107"/>
      <c r="AN39" s="107"/>
      <c r="AO39" s="107"/>
      <c r="AP39" s="107"/>
      <c r="AQ39" s="107"/>
      <c r="AR39" s="107"/>
      <c r="AS39" s="107"/>
      <c r="AT39" s="107"/>
      <c r="AU39" s="107"/>
      <c r="AV39" s="107"/>
      <c r="AW39" s="108"/>
      <c r="AX39" s="289" t="s">
        <v>281</v>
      </c>
      <c r="AY39" s="107"/>
      <c r="AZ39" s="107"/>
      <c r="BA39" s="107"/>
      <c r="BB39" s="107"/>
      <c r="BC39" s="107"/>
      <c r="BD39" s="107"/>
      <c r="BE39" s="107"/>
      <c r="BF39" s="107"/>
      <c r="BG39" s="107"/>
      <c r="BH39" s="107"/>
      <c r="BI39" s="108"/>
    </row>
    <row r="40" spans="1:61" ht="15" customHeight="1" x14ac:dyDescent="0.35">
      <c r="B40" s="109" t="s">
        <v>248</v>
      </c>
      <c r="C40" s="101" t="s">
        <v>249</v>
      </c>
      <c r="D40" s="101" t="s">
        <v>250</v>
      </c>
      <c r="E40" s="101" t="s">
        <v>251</v>
      </c>
      <c r="F40" s="101" t="s">
        <v>55</v>
      </c>
      <c r="G40" s="101" t="s">
        <v>56</v>
      </c>
      <c r="H40" s="101" t="s">
        <v>252</v>
      </c>
      <c r="I40" s="101" t="s">
        <v>58</v>
      </c>
      <c r="J40" s="101" t="s">
        <v>253</v>
      </c>
      <c r="K40" s="101" t="s">
        <v>254</v>
      </c>
      <c r="L40" s="101" t="s">
        <v>255</v>
      </c>
      <c r="M40" s="110" t="s">
        <v>256</v>
      </c>
      <c r="N40" s="109" t="s">
        <v>248</v>
      </c>
      <c r="O40" s="101" t="s">
        <v>249</v>
      </c>
      <c r="P40" s="101" t="s">
        <v>250</v>
      </c>
      <c r="Q40" s="101" t="s">
        <v>251</v>
      </c>
      <c r="R40" s="101" t="s">
        <v>55</v>
      </c>
      <c r="S40" s="101" t="s">
        <v>56</v>
      </c>
      <c r="T40" s="101" t="s">
        <v>252</v>
      </c>
      <c r="U40" s="101" t="s">
        <v>58</v>
      </c>
      <c r="V40" s="101" t="s">
        <v>253</v>
      </c>
      <c r="W40" s="101" t="s">
        <v>254</v>
      </c>
      <c r="X40" s="101" t="s">
        <v>255</v>
      </c>
      <c r="Y40" s="110" t="s">
        <v>256</v>
      </c>
      <c r="Z40" s="109" t="s">
        <v>248</v>
      </c>
      <c r="AA40" s="101" t="s">
        <v>249</v>
      </c>
      <c r="AB40" s="101" t="s">
        <v>250</v>
      </c>
      <c r="AC40" s="101" t="s">
        <v>251</v>
      </c>
      <c r="AD40" s="101" t="s">
        <v>55</v>
      </c>
      <c r="AE40" s="101" t="s">
        <v>56</v>
      </c>
      <c r="AF40" s="101" t="s">
        <v>252</v>
      </c>
      <c r="AG40" s="101" t="s">
        <v>58</v>
      </c>
      <c r="AH40" s="101" t="s">
        <v>253</v>
      </c>
      <c r="AI40" s="101" t="s">
        <v>254</v>
      </c>
      <c r="AJ40" s="101" t="s">
        <v>255</v>
      </c>
      <c r="AK40" s="110" t="s">
        <v>256</v>
      </c>
      <c r="AL40" s="109" t="s">
        <v>248</v>
      </c>
      <c r="AM40" s="101" t="s">
        <v>249</v>
      </c>
      <c r="AN40" s="101" t="s">
        <v>250</v>
      </c>
      <c r="AO40" s="101" t="s">
        <v>251</v>
      </c>
      <c r="AP40" s="101" t="s">
        <v>55</v>
      </c>
      <c r="AQ40" s="101" t="s">
        <v>56</v>
      </c>
      <c r="AR40" s="101" t="s">
        <v>252</v>
      </c>
      <c r="AS40" s="101" t="s">
        <v>58</v>
      </c>
      <c r="AT40" s="101" t="s">
        <v>253</v>
      </c>
      <c r="AU40" s="101" t="s">
        <v>254</v>
      </c>
      <c r="AV40" s="101" t="s">
        <v>255</v>
      </c>
      <c r="AW40" s="110" t="s">
        <v>256</v>
      </c>
      <c r="AX40" s="109" t="s">
        <v>248</v>
      </c>
      <c r="AY40" s="101" t="s">
        <v>249</v>
      </c>
      <c r="AZ40" s="101" t="s">
        <v>250</v>
      </c>
      <c r="BA40" s="101" t="s">
        <v>251</v>
      </c>
      <c r="BB40" s="101" t="s">
        <v>55</v>
      </c>
      <c r="BC40" s="101" t="s">
        <v>56</v>
      </c>
      <c r="BD40" s="101" t="s">
        <v>252</v>
      </c>
      <c r="BE40" s="101" t="s">
        <v>58</v>
      </c>
      <c r="BF40" s="101" t="s">
        <v>253</v>
      </c>
      <c r="BG40" s="101" t="s">
        <v>254</v>
      </c>
      <c r="BH40" s="101" t="s">
        <v>255</v>
      </c>
      <c r="BI40" s="110" t="s">
        <v>256</v>
      </c>
    </row>
    <row r="41" spans="1:61" ht="15" customHeight="1" x14ac:dyDescent="0.35">
      <c r="A41" s="102" t="s">
        <v>257</v>
      </c>
      <c r="B41" s="111"/>
      <c r="M41" s="112"/>
      <c r="N41" s="111"/>
      <c r="Y41" s="112"/>
      <c r="Z41" s="111"/>
      <c r="AK41" s="112"/>
      <c r="AL41" s="111"/>
      <c r="AW41" s="112"/>
      <c r="AX41" s="111"/>
      <c r="BI41" s="112"/>
    </row>
    <row r="42" spans="1:61" ht="15" customHeight="1" x14ac:dyDescent="0.35">
      <c r="A42" t="s">
        <v>466</v>
      </c>
      <c r="B42" s="324">
        <v>0</v>
      </c>
      <c r="C42" s="325">
        <v>0</v>
      </c>
      <c r="D42" s="325">
        <v>50000</v>
      </c>
      <c r="E42" s="325">
        <v>0</v>
      </c>
      <c r="F42" s="325">
        <v>0</v>
      </c>
      <c r="G42" s="325">
        <v>0</v>
      </c>
      <c r="H42" s="325">
        <v>0</v>
      </c>
      <c r="I42" s="325">
        <v>0</v>
      </c>
      <c r="J42" s="325">
        <v>0</v>
      </c>
      <c r="K42" s="325">
        <v>0</v>
      </c>
      <c r="L42" s="325">
        <v>0</v>
      </c>
      <c r="M42" s="326">
        <v>0</v>
      </c>
      <c r="N42" s="324"/>
      <c r="O42" s="325"/>
      <c r="P42" s="325"/>
      <c r="Q42" s="325"/>
      <c r="R42" s="325"/>
      <c r="S42" s="325"/>
      <c r="T42" s="325"/>
      <c r="U42" s="325"/>
      <c r="V42" s="325"/>
      <c r="W42" s="325"/>
      <c r="X42" s="325"/>
      <c r="Y42" s="326"/>
      <c r="Z42" s="324"/>
      <c r="AA42" s="325"/>
      <c r="AB42" s="325"/>
      <c r="AC42" s="325"/>
      <c r="AD42" s="325"/>
      <c r="AE42" s="325"/>
      <c r="AF42" s="325"/>
      <c r="AG42" s="325"/>
      <c r="AH42" s="325"/>
      <c r="AI42" s="325"/>
      <c r="AJ42" s="325"/>
      <c r="AK42" s="326"/>
      <c r="AL42" s="324"/>
      <c r="AM42" s="325"/>
      <c r="AN42" s="325"/>
      <c r="AO42" s="325"/>
      <c r="AP42" s="325"/>
      <c r="AQ42" s="325"/>
      <c r="AR42" s="325"/>
      <c r="AS42" s="325"/>
      <c r="AT42" s="325"/>
      <c r="AU42" s="325"/>
      <c r="AV42" s="325"/>
      <c r="AW42" s="326"/>
      <c r="AX42" s="324"/>
      <c r="AY42" s="325"/>
      <c r="AZ42" s="325"/>
      <c r="BA42" s="325"/>
      <c r="BB42" s="325"/>
      <c r="BC42" s="325"/>
      <c r="BD42" s="325"/>
      <c r="BE42" s="325"/>
      <c r="BF42" s="325"/>
      <c r="BG42" s="325"/>
      <c r="BH42" s="325"/>
      <c r="BI42" s="326"/>
    </row>
    <row r="43" spans="1:61" x14ac:dyDescent="0.35">
      <c r="A43" t="s">
        <v>259</v>
      </c>
      <c r="B43" s="324">
        <f>B65*'Marges Produits'!$C$49</f>
        <v>10288.333333333334</v>
      </c>
      <c r="C43" s="325">
        <f>C65*'Marges Produits'!$C$49</f>
        <v>18004.583333333336</v>
      </c>
      <c r="D43" s="325">
        <f>D65*'Marges Produits'!$C$49</f>
        <v>28292.916666666668</v>
      </c>
      <c r="E43" s="325">
        <f>E65*'Marges Produits'!$C$49</f>
        <v>46297.5</v>
      </c>
      <c r="F43" s="325">
        <f>F65*'Marges Produits'!$C$49</f>
        <v>64302.083333333336</v>
      </c>
      <c r="G43" s="325">
        <f>G65*'Marges Produits'!$C$49</f>
        <v>64302.083333333336</v>
      </c>
      <c r="H43" s="325">
        <f>H65*'Marges Produits'!$C$49</f>
        <v>64302.083333333336</v>
      </c>
      <c r="I43" s="325">
        <f>I65*'Marges Produits'!$C$49</f>
        <v>54013.75</v>
      </c>
      <c r="J43" s="325">
        <f>J65*'Marges Produits'!$C$49</f>
        <v>46297.5</v>
      </c>
      <c r="K43" s="325">
        <f>K65*'Marges Produits'!$C$49</f>
        <v>28292.916666666668</v>
      </c>
      <c r="L43" s="325">
        <f>L65*'Marges Produits'!$C$49</f>
        <v>18004.583333333336</v>
      </c>
      <c r="M43" s="326">
        <f>M65*'Marges Produits'!$C$49</f>
        <v>18004.583333333336</v>
      </c>
      <c r="N43" s="324">
        <f>N65*'Marges Produits'!$C$49</f>
        <v>28292.916666666668</v>
      </c>
      <c r="O43" s="325">
        <f>O65*'Marges Produits'!$C$49</f>
        <v>54013.75</v>
      </c>
      <c r="P43" s="325">
        <f>P65*'Marges Produits'!$C$49</f>
        <v>90022.916666666672</v>
      </c>
      <c r="Q43" s="325">
        <f>Q65*'Marges Produits'!$C$49</f>
        <v>108027.5</v>
      </c>
      <c r="R43" s="325">
        <f>R65*'Marges Produits'!$C$49</f>
        <v>126032.08333333334</v>
      </c>
      <c r="S43" s="325">
        <f>S65*'Marges Produits'!$C$49</f>
        <v>126032.08333333334</v>
      </c>
      <c r="T43" s="325">
        <f>T65*'Marges Produits'!$C$49</f>
        <v>126032.08333333334</v>
      </c>
      <c r="U43" s="325">
        <f>U65*'Marges Produits'!$C$49</f>
        <v>118315.83333333334</v>
      </c>
      <c r="V43" s="325">
        <f>V65*'Marges Produits'!$C$49</f>
        <v>90022.916666666672</v>
      </c>
      <c r="W43" s="325">
        <f>W65*'Marges Produits'!$C$49</f>
        <v>54013.75</v>
      </c>
      <c r="X43" s="325">
        <f>X65*'Marges Produits'!$C$49</f>
        <v>36009.166666666672</v>
      </c>
      <c r="Y43" s="326">
        <f>Y65*'Marges Produits'!$C$49</f>
        <v>36009.166666666672</v>
      </c>
      <c r="Z43" s="324">
        <f>Z65*'Marges Produits'!$C$49</f>
        <v>72018.333333333343</v>
      </c>
      <c r="AA43" s="325">
        <f>AA65*'Marges Produits'!$C$49</f>
        <v>82306.666666666672</v>
      </c>
      <c r="AB43" s="325">
        <f>AB65*'Marges Produits'!$C$49</f>
        <v>118315.83333333334</v>
      </c>
      <c r="AC43" s="325">
        <f>AC65*'Marges Produits'!$C$49</f>
        <v>154325</v>
      </c>
      <c r="AD43" s="325">
        <f>AD65*'Marges Produits'!$C$49</f>
        <v>180045.83333333334</v>
      </c>
      <c r="AE43" s="325">
        <f>AE65*'Marges Produits'!$C$49</f>
        <v>180045.83333333334</v>
      </c>
      <c r="AF43" s="325">
        <f>AF65*'Marges Produits'!$C$49</f>
        <v>180045.83333333334</v>
      </c>
      <c r="AG43" s="325">
        <f>AG65*'Marges Produits'!$C$49</f>
        <v>154325</v>
      </c>
      <c r="AH43" s="325">
        <f>AH65*'Marges Produits'!$C$49</f>
        <v>136320.41666666669</v>
      </c>
      <c r="AI43" s="325">
        <f>AI65*'Marges Produits'!$C$49</f>
        <v>82306.666666666672</v>
      </c>
      <c r="AJ43" s="325">
        <f>AJ65*'Marges Produits'!$C$49</f>
        <v>54013.75</v>
      </c>
      <c r="AK43" s="326">
        <f>AK65*'Marges Produits'!$C$49</f>
        <v>54013.75</v>
      </c>
      <c r="AL43" s="324">
        <f>AL65*'Marges Produits'!$C$49</f>
        <v>90022.916666666672</v>
      </c>
      <c r="AM43" s="325">
        <f>AM65*'Marges Produits'!$C$49</f>
        <v>100311.25</v>
      </c>
      <c r="AN43" s="325">
        <f>AN65*'Marges Produits'!$C$49</f>
        <v>146608.75</v>
      </c>
      <c r="AO43" s="325">
        <f>AO65*'Marges Produits'!$C$49</f>
        <v>190334.16666666669</v>
      </c>
      <c r="AP43" s="325">
        <f>AP65*'Marges Produits'!$C$49</f>
        <v>226343.33333333334</v>
      </c>
      <c r="AQ43" s="325">
        <f>AQ65*'Marges Produits'!$C$49</f>
        <v>226343.33333333334</v>
      </c>
      <c r="AR43" s="325">
        <f>AR65*'Marges Produits'!$C$49</f>
        <v>226343.33333333334</v>
      </c>
      <c r="AS43" s="325">
        <f>AS65*'Marges Produits'!$C$49</f>
        <v>190334.16666666669</v>
      </c>
      <c r="AT43" s="325">
        <f>AT65*'Marges Produits'!$C$49</f>
        <v>169757.5</v>
      </c>
      <c r="AU43" s="325">
        <f>AU65*'Marges Produits'!$C$49</f>
        <v>100311.25</v>
      </c>
      <c r="AV43" s="325">
        <f>AV65*'Marges Produits'!$C$49</f>
        <v>69446.25</v>
      </c>
      <c r="AW43" s="326">
        <f>AW65*'Marges Produits'!$C$49</f>
        <v>69446.25</v>
      </c>
      <c r="AX43" s="324">
        <f>AX65*(('Marges Produits'!$C$49)*1.05)</f>
        <v>94524.062500000015</v>
      </c>
      <c r="AY43" s="324">
        <f>AY65*(('Marges Produits'!$C$49)*1.05)</f>
        <v>105326.81250000001</v>
      </c>
      <c r="AZ43" s="324">
        <f>AZ65*(('Marges Produits'!$C$49)*1.05)</f>
        <v>153939.18750000003</v>
      </c>
      <c r="BA43" s="324">
        <f>BA65*(('Marges Produits'!$C$49)*1.05)</f>
        <v>199850.87500000003</v>
      </c>
      <c r="BB43" s="324">
        <f>BB65*(('Marges Produits'!$C$49)*1.05)</f>
        <v>237660.50000000003</v>
      </c>
      <c r="BC43" s="324">
        <f>BC65*(('Marges Produits'!$C$49)*1.05)</f>
        <v>237660.50000000003</v>
      </c>
      <c r="BD43" s="324">
        <f>BD65*(('Marges Produits'!$C$49)*1.05)</f>
        <v>237660.50000000003</v>
      </c>
      <c r="BE43" s="324">
        <f>BE65*(('Marges Produits'!$C$49)*1.05)</f>
        <v>199850.87500000003</v>
      </c>
      <c r="BF43" s="324">
        <f>BF65*(('Marges Produits'!$C$49)*1.05)</f>
        <v>178245.37500000003</v>
      </c>
      <c r="BG43" s="324">
        <f>BG65*(('Marges Produits'!$C$49)*1.05)</f>
        <v>105326.81250000001</v>
      </c>
      <c r="BH43" s="324">
        <f>BH65*(('Marges Produits'!$C$49)*1.05)</f>
        <v>72918.562500000015</v>
      </c>
      <c r="BI43" s="324">
        <f>BI65*(('Marges Produits'!$C$49)*1.05)</f>
        <v>72918.562500000015</v>
      </c>
    </row>
    <row r="44" spans="1:61" s="122" customFormat="1" ht="14.25" customHeight="1" x14ac:dyDescent="0.35">
      <c r="A44" s="335" t="s">
        <v>260</v>
      </c>
      <c r="B44" s="332">
        <f t="shared" ref="B44:AG44" si="7">SUM(B42:B43)</f>
        <v>10288.333333333334</v>
      </c>
      <c r="C44" s="333">
        <f t="shared" si="7"/>
        <v>18004.583333333336</v>
      </c>
      <c r="D44" s="333">
        <f t="shared" si="7"/>
        <v>78292.916666666672</v>
      </c>
      <c r="E44" s="333">
        <f t="shared" si="7"/>
        <v>46297.5</v>
      </c>
      <c r="F44" s="333">
        <f t="shared" si="7"/>
        <v>64302.083333333336</v>
      </c>
      <c r="G44" s="333">
        <f t="shared" si="7"/>
        <v>64302.083333333336</v>
      </c>
      <c r="H44" s="333">
        <f t="shared" si="7"/>
        <v>64302.083333333336</v>
      </c>
      <c r="I44" s="333">
        <f t="shared" si="7"/>
        <v>54013.75</v>
      </c>
      <c r="J44" s="333">
        <f t="shared" si="7"/>
        <v>46297.5</v>
      </c>
      <c r="K44" s="333">
        <f t="shared" si="7"/>
        <v>28292.916666666668</v>
      </c>
      <c r="L44" s="333">
        <f t="shared" si="7"/>
        <v>18004.583333333336</v>
      </c>
      <c r="M44" s="334">
        <f t="shared" si="7"/>
        <v>18004.583333333336</v>
      </c>
      <c r="N44" s="332">
        <f t="shared" si="7"/>
        <v>28292.916666666668</v>
      </c>
      <c r="O44" s="333">
        <f t="shared" si="7"/>
        <v>54013.75</v>
      </c>
      <c r="P44" s="333">
        <f t="shared" si="7"/>
        <v>90022.916666666672</v>
      </c>
      <c r="Q44" s="333">
        <f t="shared" si="7"/>
        <v>108027.5</v>
      </c>
      <c r="R44" s="333">
        <f t="shared" si="7"/>
        <v>126032.08333333334</v>
      </c>
      <c r="S44" s="333">
        <f t="shared" si="7"/>
        <v>126032.08333333334</v>
      </c>
      <c r="T44" s="333">
        <f t="shared" si="7"/>
        <v>126032.08333333334</v>
      </c>
      <c r="U44" s="333">
        <f t="shared" si="7"/>
        <v>118315.83333333334</v>
      </c>
      <c r="V44" s="333">
        <f t="shared" si="7"/>
        <v>90022.916666666672</v>
      </c>
      <c r="W44" s="333">
        <f t="shared" si="7"/>
        <v>54013.75</v>
      </c>
      <c r="X44" s="333">
        <f t="shared" si="7"/>
        <v>36009.166666666672</v>
      </c>
      <c r="Y44" s="334">
        <f t="shared" si="7"/>
        <v>36009.166666666672</v>
      </c>
      <c r="Z44" s="332">
        <f t="shared" si="7"/>
        <v>72018.333333333343</v>
      </c>
      <c r="AA44" s="333">
        <f t="shared" si="7"/>
        <v>82306.666666666672</v>
      </c>
      <c r="AB44" s="333">
        <f t="shared" si="7"/>
        <v>118315.83333333334</v>
      </c>
      <c r="AC44" s="333">
        <f t="shared" si="7"/>
        <v>154325</v>
      </c>
      <c r="AD44" s="333">
        <f t="shared" si="7"/>
        <v>180045.83333333334</v>
      </c>
      <c r="AE44" s="333">
        <f t="shared" si="7"/>
        <v>180045.83333333334</v>
      </c>
      <c r="AF44" s="333">
        <f t="shared" si="7"/>
        <v>180045.83333333334</v>
      </c>
      <c r="AG44" s="333">
        <f t="shared" si="7"/>
        <v>154325</v>
      </c>
      <c r="AH44" s="333">
        <f t="shared" ref="AH44:BI44" si="8">SUM(AH42:AH43)</f>
        <v>136320.41666666669</v>
      </c>
      <c r="AI44" s="333">
        <f t="shared" si="8"/>
        <v>82306.666666666672</v>
      </c>
      <c r="AJ44" s="333">
        <f t="shared" si="8"/>
        <v>54013.75</v>
      </c>
      <c r="AK44" s="334">
        <f t="shared" si="8"/>
        <v>54013.75</v>
      </c>
      <c r="AL44" s="332">
        <f t="shared" si="8"/>
        <v>90022.916666666672</v>
      </c>
      <c r="AM44" s="333">
        <f t="shared" si="8"/>
        <v>100311.25</v>
      </c>
      <c r="AN44" s="333">
        <f t="shared" si="8"/>
        <v>146608.75</v>
      </c>
      <c r="AO44" s="333">
        <f t="shared" si="8"/>
        <v>190334.16666666669</v>
      </c>
      <c r="AP44" s="333">
        <f t="shared" si="8"/>
        <v>226343.33333333334</v>
      </c>
      <c r="AQ44" s="333">
        <f t="shared" si="8"/>
        <v>226343.33333333334</v>
      </c>
      <c r="AR44" s="333">
        <f t="shared" si="8"/>
        <v>226343.33333333334</v>
      </c>
      <c r="AS44" s="333">
        <f t="shared" si="8"/>
        <v>190334.16666666669</v>
      </c>
      <c r="AT44" s="333">
        <f t="shared" si="8"/>
        <v>169757.5</v>
      </c>
      <c r="AU44" s="333">
        <f t="shared" si="8"/>
        <v>100311.25</v>
      </c>
      <c r="AV44" s="333">
        <f t="shared" si="8"/>
        <v>69446.25</v>
      </c>
      <c r="AW44" s="334">
        <f t="shared" si="8"/>
        <v>69446.25</v>
      </c>
      <c r="AX44" s="332">
        <f t="shared" si="8"/>
        <v>94524.062500000015</v>
      </c>
      <c r="AY44" s="333">
        <f t="shared" si="8"/>
        <v>105326.81250000001</v>
      </c>
      <c r="AZ44" s="333">
        <f t="shared" si="8"/>
        <v>153939.18750000003</v>
      </c>
      <c r="BA44" s="333">
        <f t="shared" si="8"/>
        <v>199850.87500000003</v>
      </c>
      <c r="BB44" s="333">
        <f t="shared" si="8"/>
        <v>237660.50000000003</v>
      </c>
      <c r="BC44" s="333">
        <f t="shared" si="8"/>
        <v>237660.50000000003</v>
      </c>
      <c r="BD44" s="333">
        <f t="shared" si="8"/>
        <v>237660.50000000003</v>
      </c>
      <c r="BE44" s="333">
        <f t="shared" si="8"/>
        <v>199850.87500000003</v>
      </c>
      <c r="BF44" s="333">
        <f t="shared" si="8"/>
        <v>178245.37500000003</v>
      </c>
      <c r="BG44" s="333">
        <f t="shared" si="8"/>
        <v>105326.81250000001</v>
      </c>
      <c r="BH44" s="333">
        <f t="shared" si="8"/>
        <v>72918.562500000015</v>
      </c>
      <c r="BI44" s="334">
        <f t="shared" si="8"/>
        <v>72918.562500000015</v>
      </c>
    </row>
    <row r="45" spans="1:61" ht="15" customHeight="1" x14ac:dyDescent="0.35">
      <c r="B45" s="324"/>
      <c r="C45" s="325"/>
      <c r="D45" s="325"/>
      <c r="E45" s="325"/>
      <c r="F45" s="325"/>
      <c r="G45" s="325"/>
      <c r="H45" s="325"/>
      <c r="I45" s="325"/>
      <c r="J45" s="325"/>
      <c r="K45" s="325"/>
      <c r="L45" s="325"/>
      <c r="M45" s="326"/>
      <c r="N45" s="324"/>
      <c r="O45" s="325"/>
      <c r="P45" s="325"/>
      <c r="Q45" s="325"/>
      <c r="R45" s="325"/>
      <c r="S45" s="325"/>
      <c r="T45" s="325"/>
      <c r="U45" s="325"/>
      <c r="V45" s="325"/>
      <c r="W45" s="325"/>
      <c r="X45" s="325"/>
      <c r="Y45" s="326"/>
      <c r="Z45" s="324"/>
      <c r="AA45" s="325"/>
      <c r="AB45" s="325"/>
      <c r="AC45" s="325"/>
      <c r="AD45" s="325"/>
      <c r="AE45" s="325"/>
      <c r="AF45" s="325"/>
      <c r="AG45" s="325"/>
      <c r="AH45" s="325"/>
      <c r="AI45" s="325"/>
      <c r="AJ45" s="325"/>
      <c r="AK45" s="326"/>
      <c r="AL45" s="324"/>
      <c r="AM45" s="325"/>
      <c r="AN45" s="325"/>
      <c r="AO45" s="325"/>
      <c r="AP45" s="325"/>
      <c r="AQ45" s="325"/>
      <c r="AR45" s="325"/>
      <c r="AS45" s="325"/>
      <c r="AT45" s="325"/>
      <c r="AU45" s="325"/>
      <c r="AV45" s="325"/>
      <c r="AW45" s="326"/>
      <c r="AX45" s="324"/>
      <c r="AY45" s="325"/>
      <c r="AZ45" s="325"/>
      <c r="BA45" s="325"/>
      <c r="BB45" s="325"/>
      <c r="BC45" s="325"/>
      <c r="BD45" s="325"/>
      <c r="BE45" s="325"/>
      <c r="BF45" s="325"/>
      <c r="BG45" s="325"/>
      <c r="BH45" s="325"/>
      <c r="BI45" s="326"/>
    </row>
    <row r="46" spans="1:61" ht="15" customHeight="1" x14ac:dyDescent="0.35">
      <c r="A46" s="102" t="s">
        <v>261</v>
      </c>
      <c r="B46" s="324"/>
      <c r="C46" s="325"/>
      <c r="D46" s="325"/>
      <c r="E46" s="325"/>
      <c r="F46" s="325"/>
      <c r="G46" s="325"/>
      <c r="H46" s="325"/>
      <c r="I46" s="325"/>
      <c r="J46" s="325"/>
      <c r="K46" s="325"/>
      <c r="L46" s="325"/>
      <c r="M46" s="326"/>
      <c r="N46" s="324"/>
      <c r="O46" s="325"/>
      <c r="P46" s="325"/>
      <c r="Q46" s="325"/>
      <c r="R46" s="325"/>
      <c r="S46" s="325"/>
      <c r="T46" s="325"/>
      <c r="U46" s="325"/>
      <c r="V46" s="325"/>
      <c r="W46" s="325"/>
      <c r="X46" s="325"/>
      <c r="Y46" s="326"/>
      <c r="Z46" s="324"/>
      <c r="AA46" s="325"/>
      <c r="AB46" s="325"/>
      <c r="AC46" s="325"/>
      <c r="AD46" s="325"/>
      <c r="AE46" s="325"/>
      <c r="AF46" s="325"/>
      <c r="AG46" s="325"/>
      <c r="AH46" s="325"/>
      <c r="AI46" s="325"/>
      <c r="AJ46" s="325"/>
      <c r="AK46" s="326"/>
      <c r="AL46" s="324"/>
      <c r="AM46" s="325"/>
      <c r="AN46" s="325"/>
      <c r="AO46" s="325"/>
      <c r="AP46" s="325"/>
      <c r="AQ46" s="325"/>
      <c r="AR46" s="325"/>
      <c r="AS46" s="325"/>
      <c r="AT46" s="325"/>
      <c r="AU46" s="325"/>
      <c r="AV46" s="325"/>
      <c r="AW46" s="326"/>
      <c r="AX46" s="324"/>
      <c r="AY46" s="325"/>
      <c r="AZ46" s="325"/>
      <c r="BA46" s="325"/>
      <c r="BB46" s="325"/>
      <c r="BC46" s="325"/>
      <c r="BD46" s="325"/>
      <c r="BE46" s="325"/>
      <c r="BF46" s="325"/>
      <c r="BG46" s="325"/>
      <c r="BH46" s="325"/>
      <c r="BI46" s="326"/>
    </row>
    <row r="47" spans="1:61" ht="15" customHeight="1" x14ac:dyDescent="0.35">
      <c r="A47" t="s">
        <v>263</v>
      </c>
      <c r="B47" s="324">
        <f>'Charges Fixes Plume'!$C$34*2</f>
        <v>2517.1019999999999</v>
      </c>
      <c r="C47" s="325">
        <f>'Charges Fixes Plume'!$C$34*2</f>
        <v>2517.1019999999999</v>
      </c>
      <c r="D47" s="325">
        <f>'Charges Fixes Plume'!$C$34*2</f>
        <v>2517.1019999999999</v>
      </c>
      <c r="E47" s="325">
        <f>'Charges Fixes Plume'!$C$34*2</f>
        <v>2517.1019999999999</v>
      </c>
      <c r="F47" s="325">
        <f>'Charges Fixes Plume'!$C$34*2</f>
        <v>2517.1019999999999</v>
      </c>
      <c r="G47" s="325">
        <f>'Charges Fixes Plume'!$C$34*2</f>
        <v>2517.1019999999999</v>
      </c>
      <c r="H47" s="325">
        <f>'Charges Fixes Plume'!$C$34*2</f>
        <v>2517.1019999999999</v>
      </c>
      <c r="I47" s="325">
        <f>'Charges Fixes Plume'!$C$34*2</f>
        <v>2517.1019999999999</v>
      </c>
      <c r="J47" s="325">
        <f>'Charges Fixes Plume'!$C$34*2</f>
        <v>2517.1019999999999</v>
      </c>
      <c r="K47" s="325">
        <f>'Charges Fixes Plume'!$C$34*2</f>
        <v>2517.1019999999999</v>
      </c>
      <c r="L47" s="325">
        <f>'Charges Fixes Plume'!$C$34*2</f>
        <v>2517.1019999999999</v>
      </c>
      <c r="M47" s="326">
        <f>'Charges Fixes Plume'!$C$34*2</f>
        <v>2517.1019999999999</v>
      </c>
      <c r="N47" s="324">
        <f>'Charges Fixes Plume'!$C$34*2</f>
        <v>2517.1019999999999</v>
      </c>
      <c r="O47" s="325">
        <f>'Charges Fixes Plume'!$C$34*2</f>
        <v>2517.1019999999999</v>
      </c>
      <c r="P47" s="325">
        <f>'Charges Fixes Plume'!$C$34*2</f>
        <v>2517.1019999999999</v>
      </c>
      <c r="Q47" s="325">
        <f>'Charges Fixes Plume'!$C$34*2</f>
        <v>2517.1019999999999</v>
      </c>
      <c r="R47" s="325">
        <f>'Charges Fixes Plume'!$C$34*2</f>
        <v>2517.1019999999999</v>
      </c>
      <c r="S47" s="325">
        <f>'Charges Fixes Plume'!$C$34*2</f>
        <v>2517.1019999999999</v>
      </c>
      <c r="T47" s="325">
        <f>'Charges Fixes Plume'!$C$34*2</f>
        <v>2517.1019999999999</v>
      </c>
      <c r="U47" s="325">
        <f>'Charges Fixes Plume'!$C$34*2</f>
        <v>2517.1019999999999</v>
      </c>
      <c r="V47" s="325">
        <f>'Charges Fixes Plume'!$C$34*2</f>
        <v>2517.1019999999999</v>
      </c>
      <c r="W47" s="325">
        <f>'Charges Fixes Plume'!$C$34*2</f>
        <v>2517.1019999999999</v>
      </c>
      <c r="X47" s="325">
        <f>'Charges Fixes Plume'!$C$34*2</f>
        <v>2517.1019999999999</v>
      </c>
      <c r="Y47" s="326">
        <f>'Charges Fixes Plume'!$C$34*2</f>
        <v>2517.1019999999999</v>
      </c>
      <c r="Z47" s="324">
        <f>'Charges Fixes Plume'!$C$34*2</f>
        <v>2517.1019999999999</v>
      </c>
      <c r="AA47" s="325">
        <f>'Charges Fixes Plume'!$C$34*2</f>
        <v>2517.1019999999999</v>
      </c>
      <c r="AB47" s="325">
        <f>'Charges Fixes Plume'!$C$34*2</f>
        <v>2517.1019999999999</v>
      </c>
      <c r="AC47" s="325">
        <f>'Charges Fixes Plume'!$C$34*2</f>
        <v>2517.1019999999999</v>
      </c>
      <c r="AD47" s="325">
        <f>'Charges Fixes Plume'!$C$34*2</f>
        <v>2517.1019999999999</v>
      </c>
      <c r="AE47" s="325">
        <f>'Charges Fixes Plume'!$C$34*2</f>
        <v>2517.1019999999999</v>
      </c>
      <c r="AF47" s="325">
        <f>'Charges Fixes Plume'!$C$34*2</f>
        <v>2517.1019999999999</v>
      </c>
      <c r="AG47" s="325">
        <f>'Charges Fixes Plume'!$C$34*2</f>
        <v>2517.1019999999999</v>
      </c>
      <c r="AH47" s="325">
        <f>'Charges Fixes Plume'!$C$34*2</f>
        <v>2517.1019999999999</v>
      </c>
      <c r="AI47" s="325">
        <f>'Charges Fixes Plume'!$C$34*2</f>
        <v>2517.1019999999999</v>
      </c>
      <c r="AJ47" s="325">
        <f>'Charges Fixes Plume'!$C$34*2</f>
        <v>2517.1019999999999</v>
      </c>
      <c r="AK47" s="326">
        <f>'Charges Fixes Plume'!$C$34*2</f>
        <v>2517.1019999999999</v>
      </c>
      <c r="AL47" s="324">
        <f>'Charges Fixes Plume'!$C$34*2</f>
        <v>2517.1019999999999</v>
      </c>
      <c r="AM47" s="325">
        <f>'Charges Fixes Plume'!$C$34*2</f>
        <v>2517.1019999999999</v>
      </c>
      <c r="AN47" s="325">
        <f>'Charges Fixes Plume'!$C$34*2</f>
        <v>2517.1019999999999</v>
      </c>
      <c r="AO47" s="325">
        <f>'Charges Fixes Plume'!$C$34*2</f>
        <v>2517.1019999999999</v>
      </c>
      <c r="AP47" s="325">
        <f>'Charges Fixes Plume'!$C$34*2</f>
        <v>2517.1019999999999</v>
      </c>
      <c r="AQ47" s="325">
        <f>'Charges Fixes Plume'!$C$34*2</f>
        <v>2517.1019999999999</v>
      </c>
      <c r="AR47" s="325">
        <f>'Charges Fixes Plume'!$C$34*2</f>
        <v>2517.1019999999999</v>
      </c>
      <c r="AS47" s="325">
        <f>'Charges Fixes Plume'!$C$34*2</f>
        <v>2517.1019999999999</v>
      </c>
      <c r="AT47" s="325">
        <f>'Charges Fixes Plume'!$C$34*2</f>
        <v>2517.1019999999999</v>
      </c>
      <c r="AU47" s="325">
        <f>'Charges Fixes Plume'!$C$34*2</f>
        <v>2517.1019999999999</v>
      </c>
      <c r="AV47" s="325">
        <f>'Charges Fixes Plume'!$C$34*2</f>
        <v>2517.1019999999999</v>
      </c>
      <c r="AW47" s="326">
        <f>'Charges Fixes Plume'!$C$34*2</f>
        <v>2517.1019999999999</v>
      </c>
      <c r="AX47" s="324">
        <f>'Charges Fixes Plume'!$C$34*2</f>
        <v>2517.1019999999999</v>
      </c>
      <c r="AY47" s="325">
        <f>'Charges Fixes Plume'!$C$34*2</f>
        <v>2517.1019999999999</v>
      </c>
      <c r="AZ47" s="325">
        <f>'Charges Fixes Plume'!$C$34*2</f>
        <v>2517.1019999999999</v>
      </c>
      <c r="BA47" s="325">
        <f>'Charges Fixes Plume'!$C$34*2</f>
        <v>2517.1019999999999</v>
      </c>
      <c r="BB47" s="325">
        <f>'Charges Fixes Plume'!$C$34*2</f>
        <v>2517.1019999999999</v>
      </c>
      <c r="BC47" s="325">
        <f>'Charges Fixes Plume'!$C$34*2</f>
        <v>2517.1019999999999</v>
      </c>
      <c r="BD47" s="325">
        <f>'Charges Fixes Plume'!$C$34*2</f>
        <v>2517.1019999999999</v>
      </c>
      <c r="BE47" s="325">
        <f>'Charges Fixes Plume'!$C$34*2</f>
        <v>2517.1019999999999</v>
      </c>
      <c r="BF47" s="325">
        <f>'Charges Fixes Plume'!$C$34*2</f>
        <v>2517.1019999999999</v>
      </c>
      <c r="BG47" s="325">
        <f>'Charges Fixes Plume'!$C$34*2</f>
        <v>2517.1019999999999</v>
      </c>
      <c r="BH47" s="325">
        <f>'Charges Fixes Plume'!$C$34*2</f>
        <v>2517.1019999999999</v>
      </c>
      <c r="BI47" s="326">
        <f>'Charges Fixes Plume'!$C$34*2</f>
        <v>2517.1019999999999</v>
      </c>
    </row>
    <row r="48" spans="1:61" ht="15" customHeight="1" x14ac:dyDescent="0.35">
      <c r="A48" t="s">
        <v>105</v>
      </c>
      <c r="B48" s="324">
        <v>2500</v>
      </c>
      <c r="C48" s="325">
        <v>0</v>
      </c>
      <c r="D48" s="325">
        <v>0</v>
      </c>
      <c r="E48" s="325">
        <v>0</v>
      </c>
      <c r="F48" s="325">
        <v>0</v>
      </c>
      <c r="G48" s="325">
        <v>0</v>
      </c>
      <c r="H48" s="325">
        <v>2500</v>
      </c>
      <c r="I48" s="325">
        <v>0</v>
      </c>
      <c r="J48" s="325">
        <v>0</v>
      </c>
      <c r="K48" s="325">
        <v>0</v>
      </c>
      <c r="L48" s="325">
        <v>0</v>
      </c>
      <c r="M48" s="326">
        <v>0</v>
      </c>
      <c r="N48" s="324">
        <f>B48</f>
        <v>2500</v>
      </c>
      <c r="O48" s="324">
        <f t="shared" ref="O48:Z53" si="9">C48</f>
        <v>0</v>
      </c>
      <c r="P48" s="324">
        <f t="shared" si="9"/>
        <v>0</v>
      </c>
      <c r="Q48" s="324">
        <f t="shared" si="9"/>
        <v>0</v>
      </c>
      <c r="R48" s="324">
        <f t="shared" si="9"/>
        <v>0</v>
      </c>
      <c r="S48" s="324">
        <f t="shared" si="9"/>
        <v>0</v>
      </c>
      <c r="T48" s="324">
        <f t="shared" si="9"/>
        <v>2500</v>
      </c>
      <c r="U48" s="324">
        <f t="shared" si="9"/>
        <v>0</v>
      </c>
      <c r="V48" s="324">
        <f t="shared" si="9"/>
        <v>0</v>
      </c>
      <c r="W48" s="324">
        <f t="shared" si="9"/>
        <v>0</v>
      </c>
      <c r="X48" s="324">
        <f t="shared" si="9"/>
        <v>0</v>
      </c>
      <c r="Y48" s="324">
        <f t="shared" si="9"/>
        <v>0</v>
      </c>
      <c r="Z48" s="325">
        <f>N48</f>
        <v>2500</v>
      </c>
      <c r="AA48" s="325">
        <f t="shared" ref="AA48:AL53" si="10">O48</f>
        <v>0</v>
      </c>
      <c r="AB48" s="325">
        <f t="shared" si="10"/>
        <v>0</v>
      </c>
      <c r="AC48" s="325">
        <f t="shared" si="10"/>
        <v>0</v>
      </c>
      <c r="AD48" s="325">
        <f t="shared" si="10"/>
        <v>0</v>
      </c>
      <c r="AE48" s="325">
        <f t="shared" si="10"/>
        <v>0</v>
      </c>
      <c r="AF48" s="325">
        <f t="shared" si="10"/>
        <v>2500</v>
      </c>
      <c r="AG48" s="325">
        <f t="shared" si="10"/>
        <v>0</v>
      </c>
      <c r="AH48" s="325">
        <f t="shared" si="10"/>
        <v>0</v>
      </c>
      <c r="AI48" s="325">
        <f t="shared" si="10"/>
        <v>0</v>
      </c>
      <c r="AJ48" s="325">
        <f t="shared" si="10"/>
        <v>0</v>
      </c>
      <c r="AK48" s="325">
        <f t="shared" si="10"/>
        <v>0</v>
      </c>
      <c r="AL48" s="325">
        <f>Z48</f>
        <v>2500</v>
      </c>
      <c r="AM48" s="325">
        <f t="shared" ref="AM48:AX53" si="11">AA48</f>
        <v>0</v>
      </c>
      <c r="AN48" s="325">
        <f t="shared" si="11"/>
        <v>0</v>
      </c>
      <c r="AO48" s="325">
        <f t="shared" si="11"/>
        <v>0</v>
      </c>
      <c r="AP48" s="325">
        <f t="shared" si="11"/>
        <v>0</v>
      </c>
      <c r="AQ48" s="325">
        <f t="shared" si="11"/>
        <v>0</v>
      </c>
      <c r="AR48" s="325">
        <f t="shared" si="11"/>
        <v>2500</v>
      </c>
      <c r="AS48" s="325">
        <f t="shared" si="11"/>
        <v>0</v>
      </c>
      <c r="AT48" s="325">
        <f t="shared" si="11"/>
        <v>0</v>
      </c>
      <c r="AU48" s="325">
        <f t="shared" si="11"/>
        <v>0</v>
      </c>
      <c r="AV48" s="325">
        <f t="shared" si="11"/>
        <v>0</v>
      </c>
      <c r="AW48" s="325">
        <f t="shared" si="11"/>
        <v>0</v>
      </c>
      <c r="AX48" s="325">
        <f>AL48</f>
        <v>2500</v>
      </c>
      <c r="AY48" s="325">
        <f t="shared" ref="AY48:BI53" si="12">AM48</f>
        <v>0</v>
      </c>
      <c r="AZ48" s="325">
        <f t="shared" si="12"/>
        <v>0</v>
      </c>
      <c r="BA48" s="325">
        <f t="shared" si="12"/>
        <v>0</v>
      </c>
      <c r="BB48" s="325">
        <f t="shared" si="12"/>
        <v>0</v>
      </c>
      <c r="BC48" s="325">
        <f t="shared" si="12"/>
        <v>0</v>
      </c>
      <c r="BD48" s="325">
        <f t="shared" si="12"/>
        <v>2500</v>
      </c>
      <c r="BE48" s="325">
        <f t="shared" si="12"/>
        <v>0</v>
      </c>
      <c r="BF48" s="325">
        <f t="shared" si="12"/>
        <v>0</v>
      </c>
      <c r="BG48" s="325">
        <f t="shared" si="12"/>
        <v>0</v>
      </c>
      <c r="BH48" s="325">
        <f t="shared" si="12"/>
        <v>0</v>
      </c>
      <c r="BI48" s="325">
        <f t="shared" si="12"/>
        <v>0</v>
      </c>
    </row>
    <row r="49" spans="1:86" ht="15" customHeight="1" x14ac:dyDescent="0.35">
      <c r="A49" t="s">
        <v>21</v>
      </c>
      <c r="B49" s="324">
        <f t="shared" ref="B49:M49" si="13">C19</f>
        <v>10907.666666666668</v>
      </c>
      <c r="C49" s="324">
        <f t="shared" si="13"/>
        <v>6341.666666666667</v>
      </c>
      <c r="D49" s="324">
        <f t="shared" si="13"/>
        <v>10907.666666666668</v>
      </c>
      <c r="E49" s="324">
        <f t="shared" si="13"/>
        <v>4341.666666666667</v>
      </c>
      <c r="F49" s="324">
        <f t="shared" si="13"/>
        <v>8907.6666666666679</v>
      </c>
      <c r="G49" s="324">
        <f t="shared" si="13"/>
        <v>4341.666666666667</v>
      </c>
      <c r="H49" s="324">
        <f t="shared" si="13"/>
        <v>7907.666666666667</v>
      </c>
      <c r="I49" s="324">
        <f t="shared" si="13"/>
        <v>3341.666666666667</v>
      </c>
      <c r="J49" s="324">
        <f t="shared" si="13"/>
        <v>8907.6666666666679</v>
      </c>
      <c r="K49" s="324">
        <f t="shared" si="13"/>
        <v>4341.666666666667</v>
      </c>
      <c r="L49" s="324">
        <f t="shared" si="13"/>
        <v>8907.6666666666679</v>
      </c>
      <c r="M49" s="324">
        <f t="shared" si="13"/>
        <v>4341.666666666667</v>
      </c>
      <c r="N49" s="324">
        <f t="shared" ref="N49:N52" si="14">B49</f>
        <v>10907.666666666668</v>
      </c>
      <c r="O49" s="324">
        <f t="shared" si="9"/>
        <v>6341.666666666667</v>
      </c>
      <c r="P49" s="324">
        <f t="shared" si="9"/>
        <v>10907.666666666668</v>
      </c>
      <c r="Q49" s="324">
        <f t="shared" si="9"/>
        <v>4341.666666666667</v>
      </c>
      <c r="R49" s="324">
        <f t="shared" si="9"/>
        <v>8907.6666666666679</v>
      </c>
      <c r="S49" s="324">
        <f t="shared" si="9"/>
        <v>4341.666666666667</v>
      </c>
      <c r="T49" s="324">
        <f t="shared" si="9"/>
        <v>7907.666666666667</v>
      </c>
      <c r="U49" s="324">
        <f t="shared" si="9"/>
        <v>3341.666666666667</v>
      </c>
      <c r="V49" s="324">
        <f t="shared" si="9"/>
        <v>8907.6666666666679</v>
      </c>
      <c r="W49" s="324">
        <f t="shared" si="9"/>
        <v>4341.666666666667</v>
      </c>
      <c r="X49" s="324">
        <f t="shared" si="9"/>
        <v>8907.6666666666679</v>
      </c>
      <c r="Y49" s="324">
        <f t="shared" si="9"/>
        <v>4341.666666666667</v>
      </c>
      <c r="Z49" s="324">
        <f t="shared" si="9"/>
        <v>10907.666666666668</v>
      </c>
      <c r="AA49" s="324">
        <f t="shared" si="10"/>
        <v>6341.666666666667</v>
      </c>
      <c r="AB49" s="324">
        <f t="shared" si="10"/>
        <v>10907.666666666668</v>
      </c>
      <c r="AC49" s="324">
        <f t="shared" si="10"/>
        <v>4341.666666666667</v>
      </c>
      <c r="AD49" s="324">
        <f t="shared" si="10"/>
        <v>8907.6666666666679</v>
      </c>
      <c r="AE49" s="324">
        <f t="shared" si="10"/>
        <v>4341.666666666667</v>
      </c>
      <c r="AF49" s="324">
        <f t="shared" si="10"/>
        <v>7907.666666666667</v>
      </c>
      <c r="AG49" s="324">
        <f t="shared" si="10"/>
        <v>3341.666666666667</v>
      </c>
      <c r="AH49" s="324">
        <f t="shared" si="10"/>
        <v>8907.6666666666679</v>
      </c>
      <c r="AI49" s="324">
        <f t="shared" si="10"/>
        <v>4341.666666666667</v>
      </c>
      <c r="AJ49" s="324">
        <f t="shared" si="10"/>
        <v>8907.6666666666679</v>
      </c>
      <c r="AK49" s="324">
        <f t="shared" si="10"/>
        <v>4341.666666666667</v>
      </c>
      <c r="AL49" s="324">
        <f t="shared" si="10"/>
        <v>10907.666666666668</v>
      </c>
      <c r="AM49" s="324">
        <f t="shared" si="11"/>
        <v>6341.666666666667</v>
      </c>
      <c r="AN49" s="324">
        <f t="shared" si="11"/>
        <v>10907.666666666668</v>
      </c>
      <c r="AO49" s="324">
        <f t="shared" si="11"/>
        <v>4341.666666666667</v>
      </c>
      <c r="AP49" s="324">
        <f t="shared" si="11"/>
        <v>8907.6666666666679</v>
      </c>
      <c r="AQ49" s="324">
        <f t="shared" si="11"/>
        <v>4341.666666666667</v>
      </c>
      <c r="AR49" s="324">
        <f t="shared" si="11"/>
        <v>7907.666666666667</v>
      </c>
      <c r="AS49" s="324">
        <f t="shared" si="11"/>
        <v>3341.666666666667</v>
      </c>
      <c r="AT49" s="324">
        <f t="shared" si="11"/>
        <v>8907.6666666666679</v>
      </c>
      <c r="AU49" s="324">
        <f t="shared" si="11"/>
        <v>4341.666666666667</v>
      </c>
      <c r="AV49" s="324">
        <f t="shared" si="11"/>
        <v>8907.6666666666679</v>
      </c>
      <c r="AW49" s="324">
        <f t="shared" si="11"/>
        <v>4341.666666666667</v>
      </c>
      <c r="AX49" s="324">
        <f t="shared" si="11"/>
        <v>10907.666666666668</v>
      </c>
      <c r="AY49" s="324">
        <f t="shared" si="12"/>
        <v>6341.666666666667</v>
      </c>
      <c r="AZ49" s="324">
        <f t="shared" si="12"/>
        <v>10907.666666666668</v>
      </c>
      <c r="BA49" s="324">
        <f t="shared" si="12"/>
        <v>4341.666666666667</v>
      </c>
      <c r="BB49" s="324">
        <f t="shared" si="12"/>
        <v>8907.6666666666679</v>
      </c>
      <c r="BC49" s="324">
        <f t="shared" si="12"/>
        <v>4341.666666666667</v>
      </c>
      <c r="BD49" s="324">
        <f t="shared" si="12"/>
        <v>7907.666666666667</v>
      </c>
      <c r="BE49" s="324">
        <f t="shared" si="12"/>
        <v>3341.666666666667</v>
      </c>
      <c r="BF49" s="324">
        <f t="shared" si="12"/>
        <v>8907.6666666666679</v>
      </c>
      <c r="BG49" s="324">
        <f t="shared" si="12"/>
        <v>4341.666666666667</v>
      </c>
      <c r="BH49" s="324">
        <f t="shared" si="12"/>
        <v>8907.6666666666679</v>
      </c>
      <c r="BI49" s="324">
        <f t="shared" si="12"/>
        <v>4341.666666666667</v>
      </c>
    </row>
    <row r="50" spans="1:86" ht="15" customHeight="1" x14ac:dyDescent="0.35">
      <c r="A50" s="323" t="s">
        <v>498</v>
      </c>
      <c r="B50" s="330">
        <f>IF($O$35&gt;499,'Charges Fixes Plume'!G55,0)</f>
        <v>0</v>
      </c>
      <c r="C50" s="330">
        <f>IF($O$35&gt;499,'Charges Fixes Plume'!H55,0)</f>
        <v>0</v>
      </c>
      <c r="D50" s="330">
        <f>IF($O$35&gt;499,'Charges Fixes Plume'!I55,0)</f>
        <v>0</v>
      </c>
      <c r="E50" s="330">
        <f>IF($O$35&gt;499,'Charges Fixes Plume'!J55,0)</f>
        <v>0</v>
      </c>
      <c r="F50" s="330">
        <f>IF($O$35&gt;499,'Charges Fixes Plume'!K55,0)</f>
        <v>0</v>
      </c>
      <c r="G50" s="330">
        <f>IF($O$35&gt;499,'Charges Fixes Plume'!L55,0)</f>
        <v>0</v>
      </c>
      <c r="H50" s="330">
        <f>IF($O$35&gt;499,'Charges Fixes Plume'!M55,0)</f>
        <v>0</v>
      </c>
      <c r="I50" s="330">
        <f>IF($O$35&gt;499,'Charges Fixes Plume'!N55,0)</f>
        <v>0</v>
      </c>
      <c r="J50" s="330">
        <f>IF($O$35&gt;499,'Charges Fixes Plume'!O55,0)</f>
        <v>0</v>
      </c>
      <c r="K50" s="330">
        <f>IF($O$35&gt;499,'Charges Fixes Plume'!P55,0)</f>
        <v>0</v>
      </c>
      <c r="L50" s="330">
        <f>IF($O$35&gt;499,'Charges Fixes Plume'!Q55,0)</f>
        <v>0</v>
      </c>
      <c r="M50" s="330">
        <f>IF($O$35&gt;499,'Charges Fixes Plume'!R55,0)</f>
        <v>0</v>
      </c>
      <c r="N50" s="330">
        <f>IF($M$68&gt;499,'Charges Fixes Plume'!G55,0)</f>
        <v>0</v>
      </c>
      <c r="O50" s="330">
        <f>IF($M$68&gt;499,'Charges Fixes Plume'!H55,0)</f>
        <v>0</v>
      </c>
      <c r="P50" s="330">
        <f>IF($M$68&gt;499,'Charges Fixes Plume'!I55,0)</f>
        <v>0</v>
      </c>
      <c r="Q50" s="330">
        <f>IF($M$68&gt;499,'Charges Fixes Plume'!J55,0)</f>
        <v>0</v>
      </c>
      <c r="R50" s="330">
        <f>IF($M$68&gt;499,'Charges Fixes Plume'!K55,0)</f>
        <v>0</v>
      </c>
      <c r="S50" s="330">
        <f>IF($M$68&gt;499,'Charges Fixes Plume'!L55,0)</f>
        <v>0</v>
      </c>
      <c r="T50" s="330">
        <f>IF($M$68&gt;499,'Charges Fixes Plume'!M55,0)</f>
        <v>0</v>
      </c>
      <c r="U50" s="330">
        <f>IF($M$68&gt;499,'Charges Fixes Plume'!N55,0)</f>
        <v>0</v>
      </c>
      <c r="V50" s="330">
        <f>IF($M$68&gt;499,'Charges Fixes Plume'!O55,0)</f>
        <v>0</v>
      </c>
      <c r="W50" s="330">
        <f>IF($M$68&gt;499,'Charges Fixes Plume'!P55,0)</f>
        <v>0</v>
      </c>
      <c r="X50" s="330">
        <f>IF($M$68&gt;499,'Charges Fixes Plume'!Q55,0)</f>
        <v>0</v>
      </c>
      <c r="Y50" s="330">
        <f>IF($M$68&gt;499,'Charges Fixes Plume'!R55,0)</f>
        <v>0</v>
      </c>
      <c r="Z50" s="330">
        <f>IF($Y$68&gt;499,'Charges Fixes Plume'!G55,0)</f>
        <v>0</v>
      </c>
      <c r="AA50" s="330">
        <f>IF($Y$68&gt;499,'Charges Fixes Plume'!H55,0)</f>
        <v>0</v>
      </c>
      <c r="AB50" s="330">
        <f>IF($Y$68&gt;499,'Charges Fixes Plume'!I55,0)</f>
        <v>0</v>
      </c>
      <c r="AC50" s="330">
        <f>IF($Y$68&gt;499,'Charges Fixes Plume'!J55,0)</f>
        <v>0</v>
      </c>
      <c r="AD50" s="330">
        <f>IF($Y$68&gt;499,'Charges Fixes Plume'!K55,0)</f>
        <v>0</v>
      </c>
      <c r="AE50" s="330">
        <f>IF($Y$68&gt;499,'Charges Fixes Plume'!L55,0)</f>
        <v>0</v>
      </c>
      <c r="AF50" s="330">
        <f>IF($Y$68&gt;499,'Charges Fixes Plume'!M55,0)</f>
        <v>0</v>
      </c>
      <c r="AG50" s="330">
        <f>IF($Y$68&gt;499,'Charges Fixes Plume'!N55,0)</f>
        <v>0</v>
      </c>
      <c r="AH50" s="330">
        <f>IF($Y$68&gt;499,'Charges Fixes Plume'!O55,0)</f>
        <v>0</v>
      </c>
      <c r="AI50" s="330">
        <f>IF($Y$68&gt;499,'Charges Fixes Plume'!P55,0)</f>
        <v>0</v>
      </c>
      <c r="AJ50" s="330">
        <f>IF($Y$68&gt;499,'Charges Fixes Plume'!Q55,0)</f>
        <v>0</v>
      </c>
      <c r="AK50" s="330">
        <f>IF($Y$68&gt;499,'Charges Fixes Plume'!R55,0)</f>
        <v>0</v>
      </c>
      <c r="AL50" s="330">
        <f>IF($AK$68&gt;499,'Charges Fixes Plume'!G55,0)</f>
        <v>11375.333333333334</v>
      </c>
      <c r="AM50" s="330">
        <f>IF($AK$68&gt;499,'Charges Fixes Plume'!H55,0)</f>
        <v>11375.333333333334</v>
      </c>
      <c r="AN50" s="330">
        <f>IF($AK$68&gt;499,'Charges Fixes Plume'!I55,0)</f>
        <v>11375.333333333334</v>
      </c>
      <c r="AO50" s="330">
        <f>IF($AK$68&gt;499,'Charges Fixes Plume'!J55,0)</f>
        <v>11375.333333333334</v>
      </c>
      <c r="AP50" s="330">
        <f>IF($AK$68&gt;499,'Charges Fixes Plume'!K55,0)</f>
        <v>11375.333333333334</v>
      </c>
      <c r="AQ50" s="330">
        <f>IF($AK$68&gt;499,'Charges Fixes Plume'!L55,0)</f>
        <v>11375.333333333334</v>
      </c>
      <c r="AR50" s="330">
        <f>IF($AK$68&gt;499,'Charges Fixes Plume'!M55,0)</f>
        <v>11375.333333333334</v>
      </c>
      <c r="AS50" s="330">
        <f>IF($AK$68&gt;499,'Charges Fixes Plume'!N55,0)</f>
        <v>11375.333333333334</v>
      </c>
      <c r="AT50" s="330">
        <f>IF($AK$68&gt;499,'Charges Fixes Plume'!O55,0)</f>
        <v>11375.333333333334</v>
      </c>
      <c r="AU50" s="330">
        <f>IF($AK$68&gt;499,'Charges Fixes Plume'!P55,0)</f>
        <v>11375.333333333334</v>
      </c>
      <c r="AV50" s="330">
        <f>IF($AK$68&gt;499,'Charges Fixes Plume'!Q55,0)</f>
        <v>11375.333333333334</v>
      </c>
      <c r="AW50" s="330">
        <f>IF($AK$68&gt;499,'Charges Fixes Plume'!R55,0)</f>
        <v>11375.333333333334</v>
      </c>
      <c r="AX50" s="330">
        <f>IF($AW$68&gt;499,'Charges Fixes Plume'!G55,0)</f>
        <v>11375.333333333334</v>
      </c>
      <c r="AY50" s="330">
        <f>IF($AW$68&gt;499,'Charges Fixes Plume'!H55,0)</f>
        <v>11375.333333333334</v>
      </c>
      <c r="AZ50" s="330">
        <f>IF($AW$68&gt;499,'Charges Fixes Plume'!I55,0)</f>
        <v>11375.333333333334</v>
      </c>
      <c r="BA50" s="330">
        <f>IF($AW$68&gt;499,'Charges Fixes Plume'!J55,0)</f>
        <v>11375.333333333334</v>
      </c>
      <c r="BB50" s="330">
        <f>IF($AW$68&gt;499,'Charges Fixes Plume'!K55,0)</f>
        <v>11375.333333333334</v>
      </c>
      <c r="BC50" s="330">
        <f>IF($AW$68&gt;499,'Charges Fixes Plume'!L55,0)</f>
        <v>11375.333333333334</v>
      </c>
      <c r="BD50" s="330">
        <f>IF($AW$68&gt;499,'Charges Fixes Plume'!M55,0)</f>
        <v>11375.333333333334</v>
      </c>
      <c r="BE50" s="330">
        <f>IF($AW$68&gt;499,'Charges Fixes Plume'!N55,0)</f>
        <v>11375.333333333334</v>
      </c>
      <c r="BF50" s="330">
        <f>IF($AW$68&gt;499,'Charges Fixes Plume'!O55,0)</f>
        <v>11375.333333333334</v>
      </c>
      <c r="BG50" s="330">
        <f>IF($AW$68&gt;499,'Charges Fixes Plume'!P55,0)</f>
        <v>11375.333333333334</v>
      </c>
      <c r="BH50" s="330">
        <f>IF($AW$68&gt;499,'Charges Fixes Plume'!Q55,0)</f>
        <v>11375.333333333334</v>
      </c>
      <c r="BI50" s="330">
        <f>IF($AW$68&gt;499,'Charges Fixes Plume'!R55,0)</f>
        <v>11375.333333333334</v>
      </c>
    </row>
    <row r="51" spans="1:86" ht="14.25" customHeight="1" x14ac:dyDescent="0.35">
      <c r="A51" t="s">
        <v>264</v>
      </c>
      <c r="B51" s="324">
        <f t="shared" ref="B51:M51" si="15">C21</f>
        <v>9057.2999999999993</v>
      </c>
      <c r="C51" s="324">
        <f t="shared" si="15"/>
        <v>3977.2999999999997</v>
      </c>
      <c r="D51" s="324">
        <f t="shared" si="15"/>
        <v>3407.2999999999997</v>
      </c>
      <c r="E51" s="324">
        <f t="shared" si="15"/>
        <v>4407.2999999999993</v>
      </c>
      <c r="F51" s="324">
        <f t="shared" si="15"/>
        <v>3407.2999999999997</v>
      </c>
      <c r="G51" s="324">
        <f t="shared" si="15"/>
        <v>3407.2999999999997</v>
      </c>
      <c r="H51" s="324">
        <f t="shared" si="15"/>
        <v>4407.2999999999993</v>
      </c>
      <c r="I51" s="324">
        <f t="shared" si="15"/>
        <v>3407.2999999999997</v>
      </c>
      <c r="J51" s="324">
        <f t="shared" si="15"/>
        <v>3407.2999999999997</v>
      </c>
      <c r="K51" s="324">
        <f t="shared" si="15"/>
        <v>4407.2999999999993</v>
      </c>
      <c r="L51" s="324">
        <f t="shared" si="15"/>
        <v>3407.2999999999997</v>
      </c>
      <c r="M51" s="324">
        <f t="shared" si="15"/>
        <v>3457.2999999999997</v>
      </c>
      <c r="N51" s="324">
        <f t="shared" si="14"/>
        <v>9057.2999999999993</v>
      </c>
      <c r="O51" s="324">
        <f t="shared" si="9"/>
        <v>3977.2999999999997</v>
      </c>
      <c r="P51" s="324">
        <f t="shared" si="9"/>
        <v>3407.2999999999997</v>
      </c>
      <c r="Q51" s="324">
        <f t="shared" si="9"/>
        <v>4407.2999999999993</v>
      </c>
      <c r="R51" s="324">
        <f t="shared" si="9"/>
        <v>3407.2999999999997</v>
      </c>
      <c r="S51" s="324">
        <f t="shared" si="9"/>
        <v>3407.2999999999997</v>
      </c>
      <c r="T51" s="324">
        <f t="shared" si="9"/>
        <v>4407.2999999999993</v>
      </c>
      <c r="U51" s="324">
        <f t="shared" si="9"/>
        <v>3407.2999999999997</v>
      </c>
      <c r="V51" s="324">
        <f t="shared" si="9"/>
        <v>3407.2999999999997</v>
      </c>
      <c r="W51" s="324">
        <f t="shared" si="9"/>
        <v>4407.2999999999993</v>
      </c>
      <c r="X51" s="324">
        <f t="shared" si="9"/>
        <v>3407.2999999999997</v>
      </c>
      <c r="Y51" s="324">
        <f t="shared" si="9"/>
        <v>3457.2999999999997</v>
      </c>
      <c r="Z51" s="324">
        <f t="shared" si="9"/>
        <v>9057.2999999999993</v>
      </c>
      <c r="AA51" s="324">
        <f t="shared" si="10"/>
        <v>3977.2999999999997</v>
      </c>
      <c r="AB51" s="324">
        <f t="shared" si="10"/>
        <v>3407.2999999999997</v>
      </c>
      <c r="AC51" s="324">
        <f t="shared" si="10"/>
        <v>4407.2999999999993</v>
      </c>
      <c r="AD51" s="324">
        <f t="shared" si="10"/>
        <v>3407.2999999999997</v>
      </c>
      <c r="AE51" s="324">
        <f t="shared" si="10"/>
        <v>3407.2999999999997</v>
      </c>
      <c r="AF51" s="324">
        <f t="shared" si="10"/>
        <v>4407.2999999999993</v>
      </c>
      <c r="AG51" s="324">
        <f t="shared" si="10"/>
        <v>3407.2999999999997</v>
      </c>
      <c r="AH51" s="324">
        <f t="shared" si="10"/>
        <v>3407.2999999999997</v>
      </c>
      <c r="AI51" s="324">
        <f t="shared" si="10"/>
        <v>4407.2999999999993</v>
      </c>
      <c r="AJ51" s="324">
        <f t="shared" si="10"/>
        <v>3407.2999999999997</v>
      </c>
      <c r="AK51" s="324">
        <f t="shared" si="10"/>
        <v>3457.2999999999997</v>
      </c>
      <c r="AL51" s="324">
        <f t="shared" si="10"/>
        <v>9057.2999999999993</v>
      </c>
      <c r="AM51" s="324">
        <f t="shared" si="11"/>
        <v>3977.2999999999997</v>
      </c>
      <c r="AN51" s="324">
        <f t="shared" si="11"/>
        <v>3407.2999999999997</v>
      </c>
      <c r="AO51" s="324">
        <f t="shared" si="11"/>
        <v>4407.2999999999993</v>
      </c>
      <c r="AP51" s="324">
        <f t="shared" si="11"/>
        <v>3407.2999999999997</v>
      </c>
      <c r="AQ51" s="324">
        <f t="shared" si="11"/>
        <v>3407.2999999999997</v>
      </c>
      <c r="AR51" s="324">
        <f t="shared" si="11"/>
        <v>4407.2999999999993</v>
      </c>
      <c r="AS51" s="324">
        <f t="shared" si="11"/>
        <v>3407.2999999999997</v>
      </c>
      <c r="AT51" s="324">
        <f t="shared" si="11"/>
        <v>3407.2999999999997</v>
      </c>
      <c r="AU51" s="324">
        <f t="shared" si="11"/>
        <v>4407.2999999999993</v>
      </c>
      <c r="AV51" s="324">
        <f t="shared" si="11"/>
        <v>3407.2999999999997</v>
      </c>
      <c r="AW51" s="324">
        <f t="shared" si="11"/>
        <v>3457.2999999999997</v>
      </c>
      <c r="AX51" s="324">
        <f t="shared" si="11"/>
        <v>9057.2999999999993</v>
      </c>
      <c r="AY51" s="324">
        <f t="shared" si="12"/>
        <v>3977.2999999999997</v>
      </c>
      <c r="AZ51" s="324">
        <f t="shared" si="12"/>
        <v>3407.2999999999997</v>
      </c>
      <c r="BA51" s="324">
        <f t="shared" si="12"/>
        <v>4407.2999999999993</v>
      </c>
      <c r="BB51" s="324">
        <f t="shared" si="12"/>
        <v>3407.2999999999997</v>
      </c>
      <c r="BC51" s="324">
        <f t="shared" si="12"/>
        <v>3407.2999999999997</v>
      </c>
      <c r="BD51" s="324">
        <f t="shared" si="12"/>
        <v>4407.2999999999993</v>
      </c>
      <c r="BE51" s="324">
        <f t="shared" si="12"/>
        <v>3407.2999999999997</v>
      </c>
      <c r="BF51" s="324">
        <f t="shared" si="12"/>
        <v>3407.2999999999997</v>
      </c>
      <c r="BG51" s="324">
        <f t="shared" si="12"/>
        <v>4407.2999999999993</v>
      </c>
      <c r="BH51" s="324">
        <f t="shared" si="12"/>
        <v>3407.2999999999997</v>
      </c>
      <c r="BI51" s="324">
        <f t="shared" si="12"/>
        <v>3457.2999999999997</v>
      </c>
    </row>
    <row r="52" spans="1:86" ht="15" customHeight="1" x14ac:dyDescent="0.35">
      <c r="A52" t="s">
        <v>265</v>
      </c>
      <c r="B52" s="325">
        <f t="shared" ref="B52:M52" si="16">C22</f>
        <v>0</v>
      </c>
      <c r="C52" s="325">
        <f t="shared" si="16"/>
        <v>0</v>
      </c>
      <c r="D52" s="325">
        <f t="shared" si="16"/>
        <v>5034.2039999999997</v>
      </c>
      <c r="E52" s="325">
        <f t="shared" si="16"/>
        <v>0</v>
      </c>
      <c r="F52" s="325">
        <f t="shared" si="16"/>
        <v>5034.2039999999997</v>
      </c>
      <c r="G52" s="325">
        <f t="shared" si="16"/>
        <v>0</v>
      </c>
      <c r="H52" s="325">
        <f t="shared" si="16"/>
        <v>0</v>
      </c>
      <c r="I52" s="325">
        <f t="shared" si="16"/>
        <v>0</v>
      </c>
      <c r="J52" s="325">
        <f t="shared" si="16"/>
        <v>0</v>
      </c>
      <c r="K52" s="325">
        <f t="shared" si="16"/>
        <v>0</v>
      </c>
      <c r="L52" s="325">
        <f t="shared" si="16"/>
        <v>0</v>
      </c>
      <c r="M52" s="325">
        <f t="shared" si="16"/>
        <v>0</v>
      </c>
      <c r="N52" s="324">
        <f t="shared" si="14"/>
        <v>0</v>
      </c>
      <c r="O52" s="324">
        <f t="shared" si="9"/>
        <v>0</v>
      </c>
      <c r="P52" s="324">
        <f t="shared" si="9"/>
        <v>5034.2039999999997</v>
      </c>
      <c r="Q52" s="324">
        <f t="shared" si="9"/>
        <v>0</v>
      </c>
      <c r="R52" s="324">
        <f t="shared" si="9"/>
        <v>5034.2039999999997</v>
      </c>
      <c r="S52" s="324">
        <f t="shared" si="9"/>
        <v>0</v>
      </c>
      <c r="T52" s="324">
        <f t="shared" si="9"/>
        <v>0</v>
      </c>
      <c r="U52" s="324">
        <f t="shared" si="9"/>
        <v>0</v>
      </c>
      <c r="V52" s="324">
        <f t="shared" si="9"/>
        <v>0</v>
      </c>
      <c r="W52" s="324">
        <f t="shared" si="9"/>
        <v>0</v>
      </c>
      <c r="X52" s="324">
        <f t="shared" si="9"/>
        <v>0</v>
      </c>
      <c r="Y52" s="324">
        <f t="shared" si="9"/>
        <v>0</v>
      </c>
      <c r="Z52" s="324">
        <f t="shared" si="9"/>
        <v>0</v>
      </c>
      <c r="AA52" s="324">
        <f t="shared" si="10"/>
        <v>0</v>
      </c>
      <c r="AB52" s="324">
        <f t="shared" si="10"/>
        <v>5034.2039999999997</v>
      </c>
      <c r="AC52" s="324">
        <f t="shared" si="10"/>
        <v>0</v>
      </c>
      <c r="AD52" s="324">
        <f t="shared" si="10"/>
        <v>5034.2039999999997</v>
      </c>
      <c r="AE52" s="324">
        <f t="shared" si="10"/>
        <v>0</v>
      </c>
      <c r="AF52" s="324">
        <f t="shared" si="10"/>
        <v>0</v>
      </c>
      <c r="AG52" s="324">
        <f t="shared" si="10"/>
        <v>0</v>
      </c>
      <c r="AH52" s="324">
        <f t="shared" si="10"/>
        <v>0</v>
      </c>
      <c r="AI52" s="324">
        <f t="shared" si="10"/>
        <v>0</v>
      </c>
      <c r="AJ52" s="324">
        <f t="shared" si="10"/>
        <v>0</v>
      </c>
      <c r="AK52" s="324">
        <f t="shared" si="10"/>
        <v>0</v>
      </c>
      <c r="AL52" s="324">
        <f t="shared" si="10"/>
        <v>0</v>
      </c>
      <c r="AM52" s="324">
        <f t="shared" si="11"/>
        <v>0</v>
      </c>
      <c r="AN52" s="324">
        <f t="shared" si="11"/>
        <v>5034.2039999999997</v>
      </c>
      <c r="AO52" s="324">
        <f t="shared" si="11"/>
        <v>0</v>
      </c>
      <c r="AP52" s="324">
        <f t="shared" si="11"/>
        <v>5034.2039999999997</v>
      </c>
      <c r="AQ52" s="324">
        <f t="shared" si="11"/>
        <v>0</v>
      </c>
      <c r="AR52" s="324">
        <f t="shared" si="11"/>
        <v>0</v>
      </c>
      <c r="AS52" s="324">
        <f t="shared" si="11"/>
        <v>0</v>
      </c>
      <c r="AT52" s="324">
        <f t="shared" si="11"/>
        <v>0</v>
      </c>
      <c r="AU52" s="324">
        <f t="shared" si="11"/>
        <v>0</v>
      </c>
      <c r="AV52" s="324">
        <f t="shared" si="11"/>
        <v>0</v>
      </c>
      <c r="AW52" s="324">
        <f t="shared" si="11"/>
        <v>0</v>
      </c>
      <c r="AX52" s="324">
        <f t="shared" si="11"/>
        <v>0</v>
      </c>
      <c r="AY52" s="324">
        <f t="shared" si="12"/>
        <v>0</v>
      </c>
      <c r="AZ52" s="324">
        <f t="shared" si="12"/>
        <v>5034.2039999999997</v>
      </c>
      <c r="BA52" s="324">
        <f t="shared" si="12"/>
        <v>0</v>
      </c>
      <c r="BB52" s="324">
        <f t="shared" si="12"/>
        <v>5034.2039999999997</v>
      </c>
      <c r="BC52" s="324">
        <f t="shared" si="12"/>
        <v>0</v>
      </c>
      <c r="BD52" s="324">
        <f t="shared" si="12"/>
        <v>0</v>
      </c>
      <c r="BE52" s="324">
        <f t="shared" si="12"/>
        <v>0</v>
      </c>
      <c r="BF52" s="324">
        <f t="shared" si="12"/>
        <v>0</v>
      </c>
      <c r="BG52" s="324">
        <f t="shared" si="12"/>
        <v>0</v>
      </c>
      <c r="BH52" s="324">
        <f t="shared" si="12"/>
        <v>0</v>
      </c>
      <c r="BI52" s="324">
        <f t="shared" si="12"/>
        <v>0</v>
      </c>
    </row>
    <row r="53" spans="1:86" ht="15" customHeight="1" x14ac:dyDescent="0.35">
      <c r="A53" t="s">
        <v>266</v>
      </c>
      <c r="B53" s="324">
        <f>C23</f>
        <v>0</v>
      </c>
      <c r="C53" s="324">
        <f>D23</f>
        <v>0</v>
      </c>
      <c r="D53" s="324">
        <f>E23</f>
        <v>0</v>
      </c>
      <c r="E53" s="324">
        <f>20142</f>
        <v>20142</v>
      </c>
      <c r="F53" s="324">
        <f t="shared" ref="F53:M53" si="17">G23</f>
        <v>0</v>
      </c>
      <c r="G53" s="324">
        <f t="shared" si="17"/>
        <v>13669</v>
      </c>
      <c r="H53" s="324">
        <f t="shared" si="17"/>
        <v>0</v>
      </c>
      <c r="I53" s="324">
        <f t="shared" si="17"/>
        <v>0</v>
      </c>
      <c r="J53" s="324">
        <f t="shared" si="17"/>
        <v>0</v>
      </c>
      <c r="K53" s="324">
        <f t="shared" si="17"/>
        <v>0</v>
      </c>
      <c r="L53" s="324">
        <f t="shared" si="17"/>
        <v>0</v>
      </c>
      <c r="M53" s="324">
        <f t="shared" si="17"/>
        <v>0</v>
      </c>
      <c r="N53" s="324">
        <f>B53</f>
        <v>0</v>
      </c>
      <c r="O53" s="324">
        <f t="shared" si="9"/>
        <v>0</v>
      </c>
      <c r="P53" s="324">
        <f t="shared" si="9"/>
        <v>0</v>
      </c>
      <c r="Q53" s="324">
        <f>G53</f>
        <v>13669</v>
      </c>
      <c r="R53" s="324">
        <f t="shared" si="9"/>
        <v>0</v>
      </c>
      <c r="S53" s="324">
        <f t="shared" si="9"/>
        <v>13669</v>
      </c>
      <c r="T53" s="324">
        <f t="shared" si="9"/>
        <v>0</v>
      </c>
      <c r="U53" s="324">
        <f t="shared" si="9"/>
        <v>0</v>
      </c>
      <c r="V53" s="324">
        <f t="shared" si="9"/>
        <v>0</v>
      </c>
      <c r="W53" s="324">
        <f t="shared" si="9"/>
        <v>0</v>
      </c>
      <c r="X53" s="324">
        <f t="shared" si="9"/>
        <v>0</v>
      </c>
      <c r="Y53" s="324">
        <f t="shared" si="9"/>
        <v>0</v>
      </c>
      <c r="Z53" s="324">
        <f>N53</f>
        <v>0</v>
      </c>
      <c r="AA53" s="324">
        <f t="shared" si="10"/>
        <v>0</v>
      </c>
      <c r="AB53" s="324">
        <f t="shared" si="10"/>
        <v>0</v>
      </c>
      <c r="AC53" s="324">
        <f t="shared" si="10"/>
        <v>13669</v>
      </c>
      <c r="AD53" s="324">
        <f t="shared" si="10"/>
        <v>0</v>
      </c>
      <c r="AE53" s="324">
        <f t="shared" si="10"/>
        <v>13669</v>
      </c>
      <c r="AF53" s="324">
        <f t="shared" si="10"/>
        <v>0</v>
      </c>
      <c r="AG53" s="324">
        <f t="shared" si="10"/>
        <v>0</v>
      </c>
      <c r="AH53" s="324">
        <f t="shared" si="10"/>
        <v>0</v>
      </c>
      <c r="AI53" s="324">
        <f t="shared" si="10"/>
        <v>0</v>
      </c>
      <c r="AJ53" s="324">
        <f t="shared" si="10"/>
        <v>0</v>
      </c>
      <c r="AK53" s="324">
        <f t="shared" si="10"/>
        <v>0</v>
      </c>
      <c r="AL53" s="324">
        <f>Z53</f>
        <v>0</v>
      </c>
      <c r="AM53" s="324">
        <f t="shared" si="11"/>
        <v>0</v>
      </c>
      <c r="AN53" s="324">
        <f t="shared" si="11"/>
        <v>0</v>
      </c>
      <c r="AO53" s="324">
        <f t="shared" si="11"/>
        <v>13669</v>
      </c>
      <c r="AP53" s="324">
        <f t="shared" si="11"/>
        <v>0</v>
      </c>
      <c r="AQ53" s="324">
        <f t="shared" si="11"/>
        <v>13669</v>
      </c>
      <c r="AR53" s="324">
        <f t="shared" si="11"/>
        <v>0</v>
      </c>
      <c r="AS53" s="324">
        <f t="shared" si="11"/>
        <v>0</v>
      </c>
      <c r="AT53" s="324">
        <f t="shared" si="11"/>
        <v>0</v>
      </c>
      <c r="AU53" s="324">
        <f t="shared" si="11"/>
        <v>0</v>
      </c>
      <c r="AV53" s="324">
        <f t="shared" si="11"/>
        <v>0</v>
      </c>
      <c r="AW53" s="324">
        <f t="shared" si="11"/>
        <v>0</v>
      </c>
      <c r="AX53" s="324">
        <f>AL53</f>
        <v>0</v>
      </c>
      <c r="AY53" s="324">
        <f t="shared" si="12"/>
        <v>0</v>
      </c>
      <c r="AZ53" s="324">
        <f t="shared" si="12"/>
        <v>0</v>
      </c>
      <c r="BA53" s="324">
        <f t="shared" si="12"/>
        <v>13669</v>
      </c>
      <c r="BB53" s="324">
        <f t="shared" si="12"/>
        <v>0</v>
      </c>
      <c r="BC53" s="324">
        <f t="shared" si="12"/>
        <v>13669</v>
      </c>
      <c r="BD53" s="324">
        <f t="shared" si="12"/>
        <v>0</v>
      </c>
      <c r="BE53" s="324">
        <f t="shared" si="12"/>
        <v>0</v>
      </c>
      <c r="BF53" s="324">
        <f t="shared" si="12"/>
        <v>0</v>
      </c>
      <c r="BG53" s="324">
        <f t="shared" si="12"/>
        <v>0</v>
      </c>
      <c r="BH53" s="324">
        <f t="shared" si="12"/>
        <v>0</v>
      </c>
      <c r="BI53" s="324">
        <f t="shared" si="12"/>
        <v>0</v>
      </c>
    </row>
    <row r="54" spans="1:86" s="279" customFormat="1" ht="15" customHeight="1" x14ac:dyDescent="0.35">
      <c r="A54" s="279" t="s">
        <v>462</v>
      </c>
      <c r="B54" s="327">
        <f>B64*'Marges Produits'!$E$49</f>
        <v>14683.095000000001</v>
      </c>
      <c r="C54" s="328">
        <f>C64*'Marges Produits'!$E$49</f>
        <v>18878.264999999999</v>
      </c>
      <c r="D54" s="328">
        <f>D64*'Marges Produits'!$E$49</f>
        <v>22024.642500000002</v>
      </c>
      <c r="E54" s="328">
        <f>E64*'Marges Produits'!$E$49</f>
        <v>26219.8125</v>
      </c>
      <c r="F54" s="328">
        <f>F64*'Marges Produits'!$E$49</f>
        <v>36707.737500000003</v>
      </c>
      <c r="G54" s="328">
        <f>G64*'Marges Produits'!$E$49</f>
        <v>27268.605</v>
      </c>
      <c r="H54" s="328">
        <f>H64*'Marges Produits'!$E$49</f>
        <v>26219.8125</v>
      </c>
      <c r="I54" s="328">
        <f>I64*'Marges Produits'!$E$49</f>
        <v>22024.642500000002</v>
      </c>
      <c r="J54" s="328">
        <f>J64*'Marges Produits'!$E$49</f>
        <v>18878.264999999999</v>
      </c>
      <c r="K54" s="328">
        <f>K64*'Marges Produits'!$E$49</f>
        <v>11536.717500000001</v>
      </c>
      <c r="L54" s="328">
        <f>L64*'Marges Produits'!$E$49</f>
        <v>0</v>
      </c>
      <c r="M54" s="329">
        <f>M64*'Marges Produits'!$E$49</f>
        <v>0</v>
      </c>
      <c r="N54" s="327">
        <f>N64*'Marges Produits'!$E$49</f>
        <v>29366.190000000002</v>
      </c>
      <c r="O54" s="328">
        <f>O64*'Marges Produits'!$E$49</f>
        <v>36707.737500000003</v>
      </c>
      <c r="P54" s="328">
        <f>P64*'Marges Produits'!$E$49</f>
        <v>55586.002500000002</v>
      </c>
      <c r="Q54" s="328">
        <f>Q64*'Marges Produits'!$E$49</f>
        <v>66073.927500000005</v>
      </c>
      <c r="R54" s="328">
        <f>R64*'Marges Produits'!$E$49</f>
        <v>73415.475000000006</v>
      </c>
      <c r="S54" s="328">
        <f>S64*'Marges Produits'!$E$49</f>
        <v>73415.475000000006</v>
      </c>
      <c r="T54" s="328">
        <f>T64*'Marges Produits'!$E$49</f>
        <v>51390.832500000004</v>
      </c>
      <c r="U54" s="328">
        <f>U64*'Marges Produits'!$E$49</f>
        <v>44049.285000000003</v>
      </c>
      <c r="V54" s="328">
        <f>V64*'Marges Produits'!$E$49</f>
        <v>36707.737500000003</v>
      </c>
      <c r="W54" s="328">
        <f>W64*'Marges Produits'!$E$49</f>
        <v>22024.642500000002</v>
      </c>
      <c r="X54" s="328">
        <f>X64*'Marges Produits'!$E$49</f>
        <v>0</v>
      </c>
      <c r="Y54" s="329">
        <f>Y64*'Marges Produits'!$E$49</f>
        <v>0</v>
      </c>
      <c r="Z54" s="327">
        <f>Z64*'Marges Produits'!$E$49</f>
        <v>37756.53</v>
      </c>
      <c r="AA54" s="328">
        <f>AA64*'Marges Produits'!$E$49</f>
        <v>48244.455000000002</v>
      </c>
      <c r="AB54" s="328">
        <f>AB64*'Marges Produits'!$E$49</f>
        <v>72366.682499999995</v>
      </c>
      <c r="AC54" s="328">
        <f>AC64*'Marges Produits'!$E$49</f>
        <v>86000.985000000001</v>
      </c>
      <c r="AD54" s="328">
        <f>AD64*'Marges Produits'!$E$49</f>
        <v>95440.117500000008</v>
      </c>
      <c r="AE54" s="328">
        <f>AE64*'Marges Produits'!$E$49</f>
        <v>95440.117500000008</v>
      </c>
      <c r="AF54" s="328">
        <f>AF64*'Marges Produits'!$E$49</f>
        <v>67122.720000000001</v>
      </c>
      <c r="AG54" s="328">
        <f>AG64*'Marges Produits'!$E$49</f>
        <v>57683.587500000001</v>
      </c>
      <c r="AH54" s="328">
        <f>AH64*'Marges Produits'!$E$49</f>
        <v>48244.455000000002</v>
      </c>
      <c r="AI54" s="328">
        <f>AI64*'Marges Produits'!$E$49</f>
        <v>28317.397499999999</v>
      </c>
      <c r="AJ54" s="328">
        <f>AJ64*'Marges Produits'!$E$49</f>
        <v>0</v>
      </c>
      <c r="AK54" s="329">
        <f>AK64*'Marges Produits'!$E$49</f>
        <v>0</v>
      </c>
      <c r="AL54" s="327">
        <f>AL64*'Marges Produits'!$E$49</f>
        <v>46146.87</v>
      </c>
      <c r="AM54" s="328">
        <f>AM64*'Marges Produits'!$E$49</f>
        <v>57683.587500000001</v>
      </c>
      <c r="AN54" s="328">
        <f>AN64*'Marges Produits'!$E$49</f>
        <v>87049.777499999997</v>
      </c>
      <c r="AO54" s="328">
        <f>AO64*'Marges Produits'!$E$49</f>
        <v>103830.4575</v>
      </c>
      <c r="AP54" s="328">
        <f>AP64*'Marges Produits'!$E$49</f>
        <v>115367.175</v>
      </c>
      <c r="AQ54" s="328">
        <f>AQ64*'Marges Produits'!$E$49</f>
        <v>115367.175</v>
      </c>
      <c r="AR54" s="328">
        <f>AR64*'Marges Produits'!$E$49</f>
        <v>80757.022500000006</v>
      </c>
      <c r="AS54" s="328">
        <f>AS64*'Marges Produits'!$E$49</f>
        <v>69220.305000000008</v>
      </c>
      <c r="AT54" s="328">
        <f>AT64*'Marges Produits'!$E$49</f>
        <v>57683.587500000001</v>
      </c>
      <c r="AU54" s="328">
        <f>AU64*'Marges Produits'!$E$49</f>
        <v>34610.152500000004</v>
      </c>
      <c r="AV54" s="328">
        <f>AV64*'Marges Produits'!$E$49</f>
        <v>0</v>
      </c>
      <c r="AW54" s="329">
        <f>AW64*'Marges Produits'!$E$49</f>
        <v>0</v>
      </c>
      <c r="AX54" s="327">
        <f>AX64*'Marges Produits'!$E$49</f>
        <v>36707.737500000003</v>
      </c>
      <c r="AY54" s="328">
        <f>AY64*'Marges Produits'!$E$49</f>
        <v>73415.475000000006</v>
      </c>
      <c r="AZ54" s="328">
        <f>AZ64*'Marges Produits'!$E$49</f>
        <v>73415.475000000006</v>
      </c>
      <c r="BA54" s="328">
        <f>BA64*'Marges Produits'!$E$49</f>
        <v>95440.117500000008</v>
      </c>
      <c r="BB54" s="328">
        <f>BB64*'Marges Produits'!$E$49</f>
        <v>110123.21250000001</v>
      </c>
      <c r="BC54" s="328">
        <f>BC64*'Marges Produits'!$E$49</f>
        <v>110123.21250000001</v>
      </c>
      <c r="BD54" s="328">
        <f>BD64*'Marges Produits'!$E$49</f>
        <v>92293.74</v>
      </c>
      <c r="BE54" s="328">
        <f>BE64*'Marges Produits'!$E$49</f>
        <v>77610.645000000004</v>
      </c>
      <c r="BF54" s="328">
        <f>BF64*'Marges Produits'!$E$49</f>
        <v>69220.305000000008</v>
      </c>
      <c r="BG54" s="328">
        <f>BG64*'Marges Produits'!$E$49</f>
        <v>0</v>
      </c>
      <c r="BH54" s="328">
        <f>BH64*'Marges Produits'!$E$49</f>
        <v>0</v>
      </c>
      <c r="BI54" s="329">
        <f>BI64*'Marges Produits'!$E$49</f>
        <v>0</v>
      </c>
      <c r="BJ54"/>
      <c r="BK54"/>
      <c r="BL54"/>
      <c r="BM54"/>
      <c r="BN54"/>
      <c r="BO54"/>
      <c r="BP54"/>
      <c r="BQ54"/>
      <c r="BR54"/>
      <c r="BS54"/>
      <c r="BT54"/>
      <c r="BU54"/>
      <c r="BV54"/>
      <c r="BW54"/>
      <c r="BX54"/>
      <c r="BY54"/>
      <c r="BZ54"/>
      <c r="CA54"/>
      <c r="CB54"/>
      <c r="CC54"/>
      <c r="CD54"/>
      <c r="CE54"/>
      <c r="CF54"/>
      <c r="CG54"/>
      <c r="CH54"/>
    </row>
    <row r="55" spans="1:86" ht="14.25" customHeight="1" x14ac:dyDescent="0.35">
      <c r="A55" t="s">
        <v>267</v>
      </c>
      <c r="B55" s="324">
        <f>'Emprunt Bancaire'!$B$27</f>
        <v>4367</v>
      </c>
      <c r="C55" s="325">
        <f>'Emprunt Bancaire'!$B$27</f>
        <v>4367</v>
      </c>
      <c r="D55" s="325">
        <f>'Emprunt Bancaire'!$B$27</f>
        <v>4367</v>
      </c>
      <c r="E55" s="325">
        <f>'Emprunt Bancaire'!$B$27</f>
        <v>4367</v>
      </c>
      <c r="F55" s="325">
        <f>'Emprunt Bancaire'!$B$27</f>
        <v>4367</v>
      </c>
      <c r="G55" s="325">
        <f>'Emprunt Bancaire'!$B$27</f>
        <v>4367</v>
      </c>
      <c r="H55" s="325">
        <f>'Emprunt Bancaire'!$B$27</f>
        <v>4367</v>
      </c>
      <c r="I55" s="325">
        <f>'Emprunt Bancaire'!$B$27</f>
        <v>4367</v>
      </c>
      <c r="J55" s="325">
        <f>'Emprunt Bancaire'!$B$27</f>
        <v>4367</v>
      </c>
      <c r="K55" s="325">
        <f>'Emprunt Bancaire'!$B$27</f>
        <v>4367</v>
      </c>
      <c r="L55" s="325">
        <f>'Emprunt Bancaire'!$B$27</f>
        <v>4367</v>
      </c>
      <c r="M55" s="326">
        <f>'Emprunt Bancaire'!$B$27</f>
        <v>4367</v>
      </c>
      <c r="N55" s="324">
        <f>'Emprunt Bancaire'!$B$27</f>
        <v>4367</v>
      </c>
      <c r="O55" s="325">
        <f>'Emprunt Bancaire'!$B$27</f>
        <v>4367</v>
      </c>
      <c r="P55" s="325">
        <f>'Emprunt Bancaire'!$B$27</f>
        <v>4367</v>
      </c>
      <c r="Q55" s="325">
        <f>'Emprunt Bancaire'!$B$27</f>
        <v>4367</v>
      </c>
      <c r="R55" s="325">
        <f>'Emprunt Bancaire'!$B$27</f>
        <v>4367</v>
      </c>
      <c r="S55" s="325">
        <f>'Emprunt Bancaire'!$B$27</f>
        <v>4367</v>
      </c>
      <c r="T55" s="325">
        <f>'Emprunt Bancaire'!$B$27</f>
        <v>4367</v>
      </c>
      <c r="U55" s="325">
        <f>'Emprunt Bancaire'!$B$27</f>
        <v>4367</v>
      </c>
      <c r="V55" s="325">
        <f>'Emprunt Bancaire'!$B$27</f>
        <v>4367</v>
      </c>
      <c r="W55" s="325">
        <f>'Emprunt Bancaire'!$B$27</f>
        <v>4367</v>
      </c>
      <c r="X55" s="325">
        <f>'Emprunt Bancaire'!$B$27</f>
        <v>4367</v>
      </c>
      <c r="Y55" s="326">
        <f>'Emprunt Bancaire'!$B$27</f>
        <v>4367</v>
      </c>
      <c r="Z55" s="324">
        <f>'Emprunt Bancaire'!$B$27</f>
        <v>4367</v>
      </c>
      <c r="AA55" s="325">
        <f>'Emprunt Bancaire'!$B$27</f>
        <v>4367</v>
      </c>
      <c r="AB55" s="325">
        <f>'Emprunt Bancaire'!$B$27</f>
        <v>4367</v>
      </c>
      <c r="AC55" s="325">
        <f>'Emprunt Bancaire'!$B$27</f>
        <v>4367</v>
      </c>
      <c r="AD55" s="325">
        <f>'Emprunt Bancaire'!$B$27</f>
        <v>4367</v>
      </c>
      <c r="AE55" s="325">
        <f>'Emprunt Bancaire'!$B$27</f>
        <v>4367</v>
      </c>
      <c r="AF55" s="325">
        <f>'Emprunt Bancaire'!$B$27</f>
        <v>4367</v>
      </c>
      <c r="AG55" s="325">
        <f>'Emprunt Bancaire'!$B$27</f>
        <v>4367</v>
      </c>
      <c r="AH55" s="325">
        <f>'Emprunt Bancaire'!$B$27</f>
        <v>4367</v>
      </c>
      <c r="AI55" s="325">
        <f>'Emprunt Bancaire'!$B$27</f>
        <v>4367</v>
      </c>
      <c r="AJ55" s="325">
        <f>'Emprunt Bancaire'!$B$27</f>
        <v>4367</v>
      </c>
      <c r="AK55" s="326">
        <f>'Emprunt Bancaire'!$B$27</f>
        <v>4367</v>
      </c>
      <c r="AL55" s="324">
        <f>'Emprunt Bancaire'!$B$27</f>
        <v>4367</v>
      </c>
      <c r="AM55" s="325">
        <f>'Emprunt Bancaire'!$B$27</f>
        <v>4367</v>
      </c>
      <c r="AN55" s="325">
        <f>'Emprunt Bancaire'!$B$27</f>
        <v>4367</v>
      </c>
      <c r="AO55" s="325">
        <f>'Emprunt Bancaire'!$B$27</f>
        <v>4367</v>
      </c>
      <c r="AP55" s="325">
        <f>'Emprunt Bancaire'!$B$27</f>
        <v>4367</v>
      </c>
      <c r="AQ55" s="325"/>
      <c r="AR55" s="325"/>
      <c r="AS55" s="325"/>
      <c r="AT55" s="325"/>
      <c r="AU55" s="325"/>
      <c r="AV55" s="325"/>
      <c r="AW55" s="326"/>
      <c r="AX55" s="324"/>
      <c r="AY55" s="325"/>
      <c r="AZ55" s="325"/>
      <c r="BA55" s="325"/>
      <c r="BB55" s="325"/>
      <c r="BC55" s="325"/>
      <c r="BD55" s="325"/>
      <c r="BE55" s="325"/>
      <c r="BF55" s="325"/>
      <c r="BG55" s="325"/>
      <c r="BH55" s="325"/>
      <c r="BI55" s="326"/>
    </row>
    <row r="56" spans="1:86" ht="15" customHeight="1" x14ac:dyDescent="0.35">
      <c r="A56" t="s">
        <v>268</v>
      </c>
      <c r="B56" s="324">
        <f t="shared" ref="B56:AG56" si="18">B43*0.008</f>
        <v>82.306666666666672</v>
      </c>
      <c r="C56" s="325">
        <f t="shared" si="18"/>
        <v>144.03666666666669</v>
      </c>
      <c r="D56" s="325">
        <f t="shared" si="18"/>
        <v>226.34333333333333</v>
      </c>
      <c r="E56" s="325">
        <f t="shared" si="18"/>
        <v>370.38</v>
      </c>
      <c r="F56" s="325">
        <f t="shared" si="18"/>
        <v>514.41666666666674</v>
      </c>
      <c r="G56" s="325">
        <f t="shared" si="18"/>
        <v>514.41666666666674</v>
      </c>
      <c r="H56" s="325">
        <f t="shared" si="18"/>
        <v>514.41666666666674</v>
      </c>
      <c r="I56" s="325">
        <f t="shared" si="18"/>
        <v>432.11</v>
      </c>
      <c r="J56" s="325">
        <f t="shared" si="18"/>
        <v>370.38</v>
      </c>
      <c r="K56" s="325">
        <f t="shared" si="18"/>
        <v>226.34333333333333</v>
      </c>
      <c r="L56" s="325">
        <f t="shared" si="18"/>
        <v>144.03666666666669</v>
      </c>
      <c r="M56" s="326">
        <f t="shared" si="18"/>
        <v>144.03666666666669</v>
      </c>
      <c r="N56" s="324">
        <f t="shared" si="18"/>
        <v>226.34333333333333</v>
      </c>
      <c r="O56" s="325">
        <f t="shared" si="18"/>
        <v>432.11</v>
      </c>
      <c r="P56" s="325">
        <f t="shared" si="18"/>
        <v>720.18333333333339</v>
      </c>
      <c r="Q56" s="325">
        <f t="shared" si="18"/>
        <v>864.22</v>
      </c>
      <c r="R56" s="325">
        <f t="shared" si="18"/>
        <v>1008.2566666666668</v>
      </c>
      <c r="S56" s="325">
        <f t="shared" si="18"/>
        <v>1008.2566666666668</v>
      </c>
      <c r="T56" s="325">
        <f t="shared" si="18"/>
        <v>1008.2566666666668</v>
      </c>
      <c r="U56" s="325">
        <f t="shared" si="18"/>
        <v>946.52666666666676</v>
      </c>
      <c r="V56" s="325">
        <f t="shared" si="18"/>
        <v>720.18333333333339</v>
      </c>
      <c r="W56" s="325">
        <f t="shared" si="18"/>
        <v>432.11</v>
      </c>
      <c r="X56" s="325">
        <f t="shared" si="18"/>
        <v>288.07333333333338</v>
      </c>
      <c r="Y56" s="326">
        <f t="shared" si="18"/>
        <v>288.07333333333338</v>
      </c>
      <c r="Z56" s="324">
        <f t="shared" si="18"/>
        <v>576.14666666666676</v>
      </c>
      <c r="AA56" s="325">
        <f t="shared" si="18"/>
        <v>658.45333333333338</v>
      </c>
      <c r="AB56" s="325">
        <f t="shared" si="18"/>
        <v>946.52666666666676</v>
      </c>
      <c r="AC56" s="325">
        <f t="shared" si="18"/>
        <v>1234.6000000000001</v>
      </c>
      <c r="AD56" s="325">
        <f t="shared" si="18"/>
        <v>1440.3666666666668</v>
      </c>
      <c r="AE56" s="325">
        <f t="shared" si="18"/>
        <v>1440.3666666666668</v>
      </c>
      <c r="AF56" s="325">
        <f t="shared" si="18"/>
        <v>1440.3666666666668</v>
      </c>
      <c r="AG56" s="325">
        <f t="shared" si="18"/>
        <v>1234.6000000000001</v>
      </c>
      <c r="AH56" s="325">
        <f t="shared" ref="AH56:BI56" si="19">AH43*0.008</f>
        <v>1090.5633333333335</v>
      </c>
      <c r="AI56" s="325">
        <f t="shared" si="19"/>
        <v>658.45333333333338</v>
      </c>
      <c r="AJ56" s="325">
        <f t="shared" si="19"/>
        <v>432.11</v>
      </c>
      <c r="AK56" s="326">
        <f t="shared" si="19"/>
        <v>432.11</v>
      </c>
      <c r="AL56" s="324">
        <f t="shared" si="19"/>
        <v>720.18333333333339</v>
      </c>
      <c r="AM56" s="325">
        <f t="shared" si="19"/>
        <v>802.49</v>
      </c>
      <c r="AN56" s="325">
        <f t="shared" si="19"/>
        <v>1172.8700000000001</v>
      </c>
      <c r="AO56" s="325">
        <f t="shared" si="19"/>
        <v>1522.6733333333336</v>
      </c>
      <c r="AP56" s="325">
        <f t="shared" si="19"/>
        <v>1810.7466666666667</v>
      </c>
      <c r="AQ56" s="325">
        <f t="shared" si="19"/>
        <v>1810.7466666666667</v>
      </c>
      <c r="AR56" s="325">
        <f t="shared" si="19"/>
        <v>1810.7466666666667</v>
      </c>
      <c r="AS56" s="325">
        <f t="shared" si="19"/>
        <v>1522.6733333333336</v>
      </c>
      <c r="AT56" s="325">
        <f t="shared" si="19"/>
        <v>1358.06</v>
      </c>
      <c r="AU56" s="325">
        <f t="shared" si="19"/>
        <v>802.49</v>
      </c>
      <c r="AV56" s="325">
        <f t="shared" si="19"/>
        <v>555.57000000000005</v>
      </c>
      <c r="AW56" s="326">
        <f t="shared" si="19"/>
        <v>555.57000000000005</v>
      </c>
      <c r="AX56" s="324">
        <f t="shared" si="19"/>
        <v>756.19250000000011</v>
      </c>
      <c r="AY56" s="325">
        <f t="shared" si="19"/>
        <v>842.61450000000013</v>
      </c>
      <c r="AZ56" s="325">
        <f t="shared" si="19"/>
        <v>1231.5135000000002</v>
      </c>
      <c r="BA56" s="325">
        <f t="shared" si="19"/>
        <v>1598.8070000000002</v>
      </c>
      <c r="BB56" s="325">
        <f t="shared" si="19"/>
        <v>1901.2840000000003</v>
      </c>
      <c r="BC56" s="325">
        <f t="shared" si="19"/>
        <v>1901.2840000000003</v>
      </c>
      <c r="BD56" s="325">
        <f t="shared" si="19"/>
        <v>1901.2840000000003</v>
      </c>
      <c r="BE56" s="325">
        <f t="shared" si="19"/>
        <v>1598.8070000000002</v>
      </c>
      <c r="BF56" s="325">
        <f t="shared" si="19"/>
        <v>1425.9630000000002</v>
      </c>
      <c r="BG56" s="325">
        <f t="shared" si="19"/>
        <v>842.61450000000013</v>
      </c>
      <c r="BH56" s="325">
        <f t="shared" si="19"/>
        <v>583.34850000000017</v>
      </c>
      <c r="BI56" s="326">
        <f t="shared" si="19"/>
        <v>583.34850000000017</v>
      </c>
    </row>
    <row r="57" spans="1:86" ht="14.25" customHeight="1" x14ac:dyDescent="0.35">
      <c r="A57" t="s">
        <v>269</v>
      </c>
      <c r="B57" s="324">
        <f t="shared" ref="B57:AG57" si="20">(SUM(B47:B56)*0.15)</f>
        <v>6617.1705499999998</v>
      </c>
      <c r="C57" s="325">
        <f t="shared" si="20"/>
        <v>5433.80555</v>
      </c>
      <c r="D57" s="325">
        <f t="shared" si="20"/>
        <v>7272.6387749999994</v>
      </c>
      <c r="E57" s="325">
        <f t="shared" si="20"/>
        <v>9354.7891749999999</v>
      </c>
      <c r="F57" s="325">
        <f t="shared" si="20"/>
        <v>9218.3140249999997</v>
      </c>
      <c r="G57" s="325">
        <f t="shared" si="20"/>
        <v>8412.7635499999997</v>
      </c>
      <c r="H57" s="325">
        <f t="shared" si="20"/>
        <v>7264.994674999999</v>
      </c>
      <c r="I57" s="325">
        <f t="shared" si="20"/>
        <v>5413.4731750000001</v>
      </c>
      <c r="J57" s="325">
        <f t="shared" si="20"/>
        <v>5767.1570499999989</v>
      </c>
      <c r="K57" s="325">
        <f t="shared" si="20"/>
        <v>4109.419425</v>
      </c>
      <c r="L57" s="325">
        <f t="shared" si="20"/>
        <v>2901.4657999999999</v>
      </c>
      <c r="M57" s="326">
        <f t="shared" si="20"/>
        <v>2224.0657999999999</v>
      </c>
      <c r="N57" s="324">
        <f t="shared" si="20"/>
        <v>8841.2402999999995</v>
      </c>
      <c r="O57" s="325">
        <f t="shared" si="20"/>
        <v>8151.4374250000001</v>
      </c>
      <c r="P57" s="325">
        <f t="shared" si="20"/>
        <v>12380.918774999998</v>
      </c>
      <c r="Q57" s="325">
        <f t="shared" si="20"/>
        <v>14436.032425000001</v>
      </c>
      <c r="R57" s="325">
        <f t="shared" si="20"/>
        <v>14798.550649999999</v>
      </c>
      <c r="S57" s="325">
        <f t="shared" si="20"/>
        <v>15408.87005</v>
      </c>
      <c r="T57" s="325">
        <f t="shared" si="20"/>
        <v>11114.723675000001</v>
      </c>
      <c r="U57" s="325">
        <f t="shared" si="20"/>
        <v>8794.3320499999991</v>
      </c>
      <c r="V57" s="325">
        <f t="shared" si="20"/>
        <v>8494.0484250000009</v>
      </c>
      <c r="W57" s="325">
        <f t="shared" si="20"/>
        <v>5713.4731750000001</v>
      </c>
      <c r="X57" s="325">
        <f t="shared" si="20"/>
        <v>2923.0713000000001</v>
      </c>
      <c r="Y57" s="326">
        <f t="shared" si="20"/>
        <v>2245.6713</v>
      </c>
      <c r="Z57" s="324">
        <f t="shared" si="20"/>
        <v>10152.261799999998</v>
      </c>
      <c r="AA57" s="325">
        <f t="shared" si="20"/>
        <v>9915.8965499999995</v>
      </c>
      <c r="AB57" s="325">
        <f t="shared" si="20"/>
        <v>14931.972274999998</v>
      </c>
      <c r="AC57" s="325">
        <f t="shared" si="20"/>
        <v>17480.64805</v>
      </c>
      <c r="AD57" s="325">
        <f t="shared" si="20"/>
        <v>18167.063525000001</v>
      </c>
      <c r="AE57" s="325">
        <f t="shared" si="20"/>
        <v>18777.382925000002</v>
      </c>
      <c r="AF57" s="325">
        <f t="shared" si="20"/>
        <v>13539.323299999998</v>
      </c>
      <c r="AG57" s="325">
        <f t="shared" si="20"/>
        <v>10882.688425</v>
      </c>
      <c r="AH57" s="325">
        <f t="shared" ref="AH57:BI57" si="21">(SUM(AH47:AH56)*0.15)</f>
        <v>10280.113050000002</v>
      </c>
      <c r="AI57" s="325">
        <f t="shared" si="21"/>
        <v>6691.3379249999989</v>
      </c>
      <c r="AJ57" s="325">
        <f t="shared" si="21"/>
        <v>2944.6767999999997</v>
      </c>
      <c r="AK57" s="326">
        <f t="shared" si="21"/>
        <v>2267.2768000000001</v>
      </c>
      <c r="AL57" s="324">
        <f t="shared" si="21"/>
        <v>13138.718299999999</v>
      </c>
      <c r="AM57" s="325">
        <f t="shared" si="21"/>
        <v>13059.671925000001</v>
      </c>
      <c r="AN57" s="325">
        <f t="shared" si="21"/>
        <v>18874.688024999999</v>
      </c>
      <c r="AO57" s="325">
        <f t="shared" si="21"/>
        <v>21904.579925000002</v>
      </c>
      <c r="AP57" s="325">
        <f t="shared" si="21"/>
        <v>22917.979150000003</v>
      </c>
      <c r="AQ57" s="325">
        <f t="shared" si="21"/>
        <v>22873.24855</v>
      </c>
      <c r="AR57" s="325">
        <f t="shared" si="21"/>
        <v>16691.275675000001</v>
      </c>
      <c r="AS57" s="325">
        <f t="shared" si="21"/>
        <v>13707.657050000002</v>
      </c>
      <c r="AT57" s="325">
        <f t="shared" si="21"/>
        <v>12787.357424999998</v>
      </c>
      <c r="AU57" s="325">
        <f t="shared" si="21"/>
        <v>8708.1066749999991</v>
      </c>
      <c r="AV57" s="325">
        <f t="shared" si="21"/>
        <v>4014.4457999999995</v>
      </c>
      <c r="AW57" s="326">
        <f t="shared" si="21"/>
        <v>3337.0457999999994</v>
      </c>
      <c r="AX57" s="324">
        <f t="shared" si="21"/>
        <v>11073.1998</v>
      </c>
      <c r="AY57" s="325">
        <f t="shared" si="21"/>
        <v>14770.423725000001</v>
      </c>
      <c r="AZ57" s="325">
        <f t="shared" si="21"/>
        <v>16183.289175</v>
      </c>
      <c r="BA57" s="325">
        <f t="shared" si="21"/>
        <v>20002.398975</v>
      </c>
      <c r="BB57" s="325">
        <f t="shared" si="21"/>
        <v>21489.915375</v>
      </c>
      <c r="BC57" s="325">
        <f t="shared" si="21"/>
        <v>22100.234775000004</v>
      </c>
      <c r="BD57" s="325">
        <f t="shared" si="21"/>
        <v>18435.3639</v>
      </c>
      <c r="BE57" s="325">
        <f t="shared" si="21"/>
        <v>14977.6281</v>
      </c>
      <c r="BF57" s="325">
        <f t="shared" si="21"/>
        <v>14528.050500000001</v>
      </c>
      <c r="BG57" s="325">
        <f t="shared" si="21"/>
        <v>3522.6024749999997</v>
      </c>
      <c r="BH57" s="325">
        <f t="shared" si="21"/>
        <v>4018.6125749999997</v>
      </c>
      <c r="BI57" s="326">
        <f t="shared" si="21"/>
        <v>3341.2125749999996</v>
      </c>
    </row>
    <row r="58" spans="1:86" s="122" customFormat="1" ht="15" customHeight="1" x14ac:dyDescent="0.35">
      <c r="A58" s="335" t="s">
        <v>270</v>
      </c>
      <c r="B58" s="332">
        <f t="shared" ref="B58:AG58" si="22">SUM(B47:B57)</f>
        <v>50731.640883333333</v>
      </c>
      <c r="C58" s="333">
        <f t="shared" si="22"/>
        <v>41659.17588333333</v>
      </c>
      <c r="D58" s="333">
        <f t="shared" si="22"/>
        <v>55756.897274999996</v>
      </c>
      <c r="E58" s="333">
        <f t="shared" si="22"/>
        <v>71720.050341666662</v>
      </c>
      <c r="F58" s="333">
        <f t="shared" si="22"/>
        <v>70673.740858333331</v>
      </c>
      <c r="G58" s="333">
        <f t="shared" si="22"/>
        <v>64497.85388333333</v>
      </c>
      <c r="H58" s="333">
        <f t="shared" si="22"/>
        <v>55698.292508333332</v>
      </c>
      <c r="I58" s="333">
        <f t="shared" si="22"/>
        <v>41503.294341666668</v>
      </c>
      <c r="J58" s="333">
        <f t="shared" si="22"/>
        <v>44214.870716666665</v>
      </c>
      <c r="K58" s="333">
        <f t="shared" si="22"/>
        <v>31505.548924999999</v>
      </c>
      <c r="L58" s="333">
        <f t="shared" si="22"/>
        <v>22244.571133333331</v>
      </c>
      <c r="M58" s="334">
        <f t="shared" si="22"/>
        <v>17051.171133333333</v>
      </c>
      <c r="N58" s="332">
        <f t="shared" si="22"/>
        <v>67782.842300000004</v>
      </c>
      <c r="O58" s="333">
        <f t="shared" si="22"/>
        <v>62494.353591666673</v>
      </c>
      <c r="P58" s="333">
        <f t="shared" si="22"/>
        <v>94920.377274999992</v>
      </c>
      <c r="Q58" s="333">
        <f t="shared" si="22"/>
        <v>110676.24859166668</v>
      </c>
      <c r="R58" s="333">
        <f t="shared" si="22"/>
        <v>113455.55498333334</v>
      </c>
      <c r="S58" s="333">
        <f t="shared" si="22"/>
        <v>118134.67038333333</v>
      </c>
      <c r="T58" s="333">
        <f t="shared" si="22"/>
        <v>85212.881508333347</v>
      </c>
      <c r="U58" s="333">
        <f t="shared" si="22"/>
        <v>67423.212383333332</v>
      </c>
      <c r="V58" s="333">
        <f t="shared" si="22"/>
        <v>65121.037925000004</v>
      </c>
      <c r="W58" s="333">
        <f t="shared" si="22"/>
        <v>43803.294341666668</v>
      </c>
      <c r="X58" s="333">
        <f t="shared" si="22"/>
        <v>22410.213299999999</v>
      </c>
      <c r="Y58" s="334">
        <f t="shared" si="22"/>
        <v>17216.813300000002</v>
      </c>
      <c r="Z58" s="332">
        <f t="shared" si="22"/>
        <v>77834.007133333318</v>
      </c>
      <c r="AA58" s="333">
        <f t="shared" si="22"/>
        <v>76021.873550000004</v>
      </c>
      <c r="AB58" s="333">
        <f t="shared" si="22"/>
        <v>114478.45410833332</v>
      </c>
      <c r="AC58" s="333">
        <f t="shared" si="22"/>
        <v>134018.30171666667</v>
      </c>
      <c r="AD58" s="333">
        <f t="shared" si="22"/>
        <v>139280.82035833335</v>
      </c>
      <c r="AE58" s="333">
        <f t="shared" si="22"/>
        <v>143959.93575833336</v>
      </c>
      <c r="AF58" s="333">
        <f t="shared" si="22"/>
        <v>103801.47863333333</v>
      </c>
      <c r="AG58" s="333">
        <f t="shared" si="22"/>
        <v>83433.944591666674</v>
      </c>
      <c r="AH58" s="333">
        <f t="shared" ref="AH58:BI58" si="23">SUM(AH47:AH57)</f>
        <v>78814.200050000014</v>
      </c>
      <c r="AI58" s="333">
        <f t="shared" si="23"/>
        <v>51300.257424999996</v>
      </c>
      <c r="AJ58" s="333">
        <f t="shared" si="23"/>
        <v>22575.855466666668</v>
      </c>
      <c r="AK58" s="334">
        <f t="shared" si="23"/>
        <v>17382.455466666666</v>
      </c>
      <c r="AL58" s="332">
        <f t="shared" si="23"/>
        <v>100730.17363333332</v>
      </c>
      <c r="AM58" s="333">
        <f t="shared" si="23"/>
        <v>100124.151425</v>
      </c>
      <c r="AN58" s="333">
        <f t="shared" si="23"/>
        <v>144705.941525</v>
      </c>
      <c r="AO58" s="333">
        <f t="shared" si="23"/>
        <v>167935.11275833336</v>
      </c>
      <c r="AP58" s="333">
        <f t="shared" si="23"/>
        <v>175704.50681666669</v>
      </c>
      <c r="AQ58" s="333">
        <f t="shared" si="23"/>
        <v>175361.57221666665</v>
      </c>
      <c r="AR58" s="333">
        <f t="shared" si="23"/>
        <v>127966.44684166668</v>
      </c>
      <c r="AS58" s="333">
        <f t="shared" si="23"/>
        <v>105092.03738333334</v>
      </c>
      <c r="AT58" s="333">
        <f t="shared" si="23"/>
        <v>98036.406924999988</v>
      </c>
      <c r="AU58" s="333">
        <f t="shared" si="23"/>
        <v>66762.151174999992</v>
      </c>
      <c r="AV58" s="333">
        <f t="shared" si="23"/>
        <v>30777.417799999996</v>
      </c>
      <c r="AW58" s="334">
        <f t="shared" si="23"/>
        <v>25584.017799999998</v>
      </c>
      <c r="AX58" s="332">
        <f t="shared" si="23"/>
        <v>84894.531800000012</v>
      </c>
      <c r="AY58" s="333">
        <f t="shared" si="23"/>
        <v>113239.915225</v>
      </c>
      <c r="AZ58" s="333">
        <f t="shared" si="23"/>
        <v>124071.883675</v>
      </c>
      <c r="BA58" s="333">
        <f t="shared" si="23"/>
        <v>153351.72547499998</v>
      </c>
      <c r="BB58" s="333">
        <f t="shared" si="23"/>
        <v>164756.01787500002</v>
      </c>
      <c r="BC58" s="333">
        <f t="shared" si="23"/>
        <v>169435.13327500003</v>
      </c>
      <c r="BD58" s="333">
        <f t="shared" si="23"/>
        <v>141337.7899</v>
      </c>
      <c r="BE58" s="333">
        <f t="shared" si="23"/>
        <v>114828.48210000001</v>
      </c>
      <c r="BF58" s="333">
        <f t="shared" si="23"/>
        <v>111381.72050000001</v>
      </c>
      <c r="BG58" s="333">
        <f t="shared" si="23"/>
        <v>27006.618974999998</v>
      </c>
      <c r="BH58" s="333">
        <f t="shared" si="23"/>
        <v>30809.363074999997</v>
      </c>
      <c r="BI58" s="334">
        <f t="shared" si="23"/>
        <v>25615.963075</v>
      </c>
    </row>
    <row r="59" spans="1:86" ht="15" customHeight="1" x14ac:dyDescent="0.35">
      <c r="B59" s="324"/>
      <c r="C59" s="325"/>
      <c r="D59" s="325"/>
      <c r="E59" s="325"/>
      <c r="F59" s="325"/>
      <c r="G59" s="325"/>
      <c r="H59" s="325"/>
      <c r="I59" s="325"/>
      <c r="J59" s="325"/>
      <c r="K59" s="325"/>
      <c r="L59" s="325"/>
      <c r="M59" s="326"/>
      <c r="N59" s="324"/>
      <c r="O59" s="325"/>
      <c r="P59" s="325"/>
      <c r="Q59" s="325"/>
      <c r="R59" s="325"/>
      <c r="S59" s="325"/>
      <c r="T59" s="325"/>
      <c r="U59" s="325"/>
      <c r="V59" s="325"/>
      <c r="W59" s="325"/>
      <c r="X59" s="325"/>
      <c r="Y59" s="326"/>
      <c r="Z59" s="324"/>
      <c r="AA59" s="325"/>
      <c r="AB59" s="325"/>
      <c r="AC59" s="325"/>
      <c r="AD59" s="325"/>
      <c r="AE59" s="325"/>
      <c r="AF59" s="325"/>
      <c r="AG59" s="325"/>
      <c r="AH59" s="325"/>
      <c r="AI59" s="325"/>
      <c r="AJ59" s="325"/>
      <c r="AK59" s="326"/>
      <c r="AL59" s="324"/>
      <c r="AM59" s="325"/>
      <c r="AN59" s="325"/>
      <c r="AO59" s="325"/>
      <c r="AP59" s="325"/>
      <c r="AQ59" s="325"/>
      <c r="AR59" s="325"/>
      <c r="AS59" s="325"/>
      <c r="AT59" s="325"/>
      <c r="AU59" s="325"/>
      <c r="AV59" s="325"/>
      <c r="AW59" s="326"/>
      <c r="AX59" s="324"/>
      <c r="AY59" s="325"/>
      <c r="AZ59" s="325"/>
      <c r="BA59" s="325"/>
      <c r="BB59" s="325"/>
      <c r="BC59" s="325"/>
      <c r="BD59" s="325"/>
      <c r="BE59" s="325"/>
      <c r="BF59" s="325"/>
      <c r="BG59" s="325"/>
      <c r="BH59" s="325"/>
      <c r="BI59" s="326"/>
    </row>
    <row r="60" spans="1:86" s="122" customFormat="1" ht="14.25" customHeight="1" x14ac:dyDescent="0.35">
      <c r="A60" s="335" t="s">
        <v>271</v>
      </c>
      <c r="B60" s="332">
        <f t="shared" ref="B60:AG60" si="24">B44-B58</f>
        <v>-40443.307549999998</v>
      </c>
      <c r="C60" s="333">
        <f t="shared" si="24"/>
        <v>-23654.592549999994</v>
      </c>
      <c r="D60" s="333">
        <f t="shared" si="24"/>
        <v>22536.019391666676</v>
      </c>
      <c r="E60" s="333">
        <f t="shared" si="24"/>
        <v>-25422.550341666662</v>
      </c>
      <c r="F60" s="333">
        <f t="shared" si="24"/>
        <v>-6371.6575249999951</v>
      </c>
      <c r="G60" s="333">
        <f t="shared" si="24"/>
        <v>-195.77054999999382</v>
      </c>
      <c r="H60" s="333">
        <f t="shared" si="24"/>
        <v>8603.7908250000037</v>
      </c>
      <c r="I60" s="333">
        <f t="shared" si="24"/>
        <v>12510.455658333332</v>
      </c>
      <c r="J60" s="333">
        <f t="shared" si="24"/>
        <v>2082.6292833333355</v>
      </c>
      <c r="K60" s="333">
        <f t="shared" si="24"/>
        <v>-3212.6322583333313</v>
      </c>
      <c r="L60" s="333">
        <f t="shared" si="24"/>
        <v>-4239.9877999999953</v>
      </c>
      <c r="M60" s="334">
        <f t="shared" si="24"/>
        <v>953.41220000000249</v>
      </c>
      <c r="N60" s="332">
        <f t="shared" si="24"/>
        <v>-39489.925633333332</v>
      </c>
      <c r="O60" s="333">
        <f t="shared" si="24"/>
        <v>-8480.6035916666733</v>
      </c>
      <c r="P60" s="333">
        <f t="shared" si="24"/>
        <v>-4897.4606083333201</v>
      </c>
      <c r="Q60" s="333">
        <f t="shared" si="24"/>
        <v>-2648.7485916666774</v>
      </c>
      <c r="R60" s="333">
        <f t="shared" si="24"/>
        <v>12576.528350000008</v>
      </c>
      <c r="S60" s="333">
        <f t="shared" si="24"/>
        <v>7897.4129500000126</v>
      </c>
      <c r="T60" s="333">
        <f t="shared" si="24"/>
        <v>40819.201824999996</v>
      </c>
      <c r="U60" s="333">
        <f t="shared" si="24"/>
        <v>50892.620950000011</v>
      </c>
      <c r="V60" s="333">
        <f t="shared" si="24"/>
        <v>24901.878741666667</v>
      </c>
      <c r="W60" s="333">
        <f t="shared" si="24"/>
        <v>10210.455658333332</v>
      </c>
      <c r="X60" s="333">
        <f t="shared" si="24"/>
        <v>13598.953366666672</v>
      </c>
      <c r="Y60" s="334">
        <f t="shared" si="24"/>
        <v>18792.35336666667</v>
      </c>
      <c r="Z60" s="332">
        <f t="shared" si="24"/>
        <v>-5815.673799999975</v>
      </c>
      <c r="AA60" s="333">
        <f t="shared" si="24"/>
        <v>6284.7931166666676</v>
      </c>
      <c r="AB60" s="333">
        <f t="shared" si="24"/>
        <v>3837.3792250000261</v>
      </c>
      <c r="AC60" s="333">
        <f t="shared" si="24"/>
        <v>20306.698283333331</v>
      </c>
      <c r="AD60" s="333">
        <f t="shared" si="24"/>
        <v>40765.012974999991</v>
      </c>
      <c r="AE60" s="333">
        <f t="shared" si="24"/>
        <v>36085.897574999981</v>
      </c>
      <c r="AF60" s="333">
        <f t="shared" si="24"/>
        <v>76244.354700000011</v>
      </c>
      <c r="AG60" s="333">
        <f t="shared" si="24"/>
        <v>70891.055408333326</v>
      </c>
      <c r="AH60" s="333">
        <f t="shared" ref="AH60:BI60" si="25">AH44-AH58</f>
        <v>57506.216616666672</v>
      </c>
      <c r="AI60" s="333">
        <f t="shared" si="25"/>
        <v>31006.409241666675</v>
      </c>
      <c r="AJ60" s="333">
        <f t="shared" si="25"/>
        <v>31437.894533333332</v>
      </c>
      <c r="AK60" s="334">
        <f t="shared" si="25"/>
        <v>36631.294533333334</v>
      </c>
      <c r="AL60" s="332">
        <f t="shared" si="25"/>
        <v>-10707.256966666653</v>
      </c>
      <c r="AM60" s="333">
        <f t="shared" si="25"/>
        <v>187.09857499999634</v>
      </c>
      <c r="AN60" s="333">
        <f t="shared" si="25"/>
        <v>1902.808474999998</v>
      </c>
      <c r="AO60" s="333">
        <f t="shared" si="25"/>
        <v>22399.053908333328</v>
      </c>
      <c r="AP60" s="333">
        <f t="shared" si="25"/>
        <v>50638.826516666653</v>
      </c>
      <c r="AQ60" s="333">
        <f t="shared" si="25"/>
        <v>50981.76111666669</v>
      </c>
      <c r="AR60" s="333">
        <f t="shared" si="25"/>
        <v>98376.886491666664</v>
      </c>
      <c r="AS60" s="333">
        <f t="shared" si="25"/>
        <v>85242.129283333343</v>
      </c>
      <c r="AT60" s="333">
        <f t="shared" si="25"/>
        <v>71721.093075000012</v>
      </c>
      <c r="AU60" s="333">
        <f t="shared" si="25"/>
        <v>33549.098825000008</v>
      </c>
      <c r="AV60" s="333">
        <f t="shared" si="25"/>
        <v>38668.832200000004</v>
      </c>
      <c r="AW60" s="334">
        <f t="shared" si="25"/>
        <v>43862.232199999999</v>
      </c>
      <c r="AX60" s="332">
        <f t="shared" si="25"/>
        <v>9629.530700000003</v>
      </c>
      <c r="AY60" s="333">
        <f t="shared" si="25"/>
        <v>-7913.1027249999897</v>
      </c>
      <c r="AZ60" s="333">
        <f t="shared" si="25"/>
        <v>29867.303825000025</v>
      </c>
      <c r="BA60" s="333">
        <f t="shared" si="25"/>
        <v>46499.149525000044</v>
      </c>
      <c r="BB60" s="333">
        <f t="shared" si="25"/>
        <v>72904.48212500001</v>
      </c>
      <c r="BC60" s="333">
        <f t="shared" si="25"/>
        <v>68225.366725</v>
      </c>
      <c r="BD60" s="333">
        <f t="shared" si="25"/>
        <v>96322.710100000026</v>
      </c>
      <c r="BE60" s="333">
        <f t="shared" si="25"/>
        <v>85022.392900000021</v>
      </c>
      <c r="BF60" s="333">
        <f t="shared" si="25"/>
        <v>66863.654500000019</v>
      </c>
      <c r="BG60" s="333">
        <f t="shared" si="25"/>
        <v>78320.19352500001</v>
      </c>
      <c r="BH60" s="333">
        <f t="shared" si="25"/>
        <v>42109.199425000013</v>
      </c>
      <c r="BI60" s="334">
        <f t="shared" si="25"/>
        <v>47302.599425000015</v>
      </c>
    </row>
    <row r="61" spans="1:86" s="122" customFormat="1" ht="15" customHeight="1" x14ac:dyDescent="0.35">
      <c r="A61" s="331" t="s">
        <v>272</v>
      </c>
      <c r="B61" s="332">
        <f>N31+B60</f>
        <v>112142.77984999993</v>
      </c>
      <c r="C61" s="333">
        <f t="shared" ref="C61:BI61" si="26">B61+C60</f>
        <v>88488.187299999932</v>
      </c>
      <c r="D61" s="333">
        <f t="shared" si="26"/>
        <v>111024.20669166661</v>
      </c>
      <c r="E61" s="333">
        <f t="shared" si="26"/>
        <v>85601.656349999947</v>
      </c>
      <c r="F61" s="333">
        <f t="shared" si="26"/>
        <v>79229.998824999959</v>
      </c>
      <c r="G61" s="333">
        <f t="shared" si="26"/>
        <v>79034.228274999972</v>
      </c>
      <c r="H61" s="333">
        <f t="shared" si="26"/>
        <v>87638.019099999976</v>
      </c>
      <c r="I61" s="333">
        <f t="shared" si="26"/>
        <v>100148.47475833331</v>
      </c>
      <c r="J61" s="333">
        <f t="shared" si="26"/>
        <v>102231.10404166664</v>
      </c>
      <c r="K61" s="333">
        <f t="shared" si="26"/>
        <v>99018.471783333312</v>
      </c>
      <c r="L61" s="333">
        <f t="shared" si="26"/>
        <v>94778.48398333331</v>
      </c>
      <c r="M61" s="334">
        <f t="shared" si="26"/>
        <v>95731.896183333316</v>
      </c>
      <c r="N61" s="334">
        <f t="shared" si="26"/>
        <v>56241.970549999984</v>
      </c>
      <c r="O61" s="334">
        <f t="shared" si="26"/>
        <v>47761.36695833331</v>
      </c>
      <c r="P61" s="334">
        <f t="shared" si="26"/>
        <v>42863.90634999999</v>
      </c>
      <c r="Q61" s="334">
        <f t="shared" si="26"/>
        <v>40215.157758333313</v>
      </c>
      <c r="R61" s="334">
        <f t="shared" si="26"/>
        <v>52791.686108333321</v>
      </c>
      <c r="S61" s="334">
        <f t="shared" si="26"/>
        <v>60689.099058333333</v>
      </c>
      <c r="T61" s="334">
        <f t="shared" si="26"/>
        <v>101508.30088333333</v>
      </c>
      <c r="U61" s="334">
        <f t="shared" si="26"/>
        <v>152400.92183333333</v>
      </c>
      <c r="V61" s="334">
        <f t="shared" si="26"/>
        <v>177302.800575</v>
      </c>
      <c r="W61" s="334">
        <f t="shared" si="26"/>
        <v>187513.25623333332</v>
      </c>
      <c r="X61" s="334">
        <f t="shared" si="26"/>
        <v>201112.2096</v>
      </c>
      <c r="Y61" s="334">
        <f t="shared" si="26"/>
        <v>219904.56296666668</v>
      </c>
      <c r="Z61" s="334">
        <f t="shared" si="26"/>
        <v>214088.88916666672</v>
      </c>
      <c r="AA61" s="334">
        <f t="shared" si="26"/>
        <v>220373.68228333339</v>
      </c>
      <c r="AB61" s="334">
        <f t="shared" si="26"/>
        <v>224211.06150833343</v>
      </c>
      <c r="AC61" s="334">
        <f t="shared" si="26"/>
        <v>244517.75979166676</v>
      </c>
      <c r="AD61" s="334">
        <f t="shared" si="26"/>
        <v>285282.77276666672</v>
      </c>
      <c r="AE61" s="334">
        <f t="shared" si="26"/>
        <v>321368.67034166667</v>
      </c>
      <c r="AF61" s="334">
        <f t="shared" si="26"/>
        <v>397613.0250416667</v>
      </c>
      <c r="AG61" s="334">
        <f t="shared" si="26"/>
        <v>468504.08045000001</v>
      </c>
      <c r="AH61" s="334">
        <f t="shared" si="26"/>
        <v>526010.29706666665</v>
      </c>
      <c r="AI61" s="334">
        <f t="shared" si="26"/>
        <v>557016.70630833332</v>
      </c>
      <c r="AJ61" s="334">
        <f t="shared" si="26"/>
        <v>588454.60084166669</v>
      </c>
      <c r="AK61" s="334">
        <f t="shared" si="26"/>
        <v>625085.89537500008</v>
      </c>
      <c r="AL61" s="334">
        <f t="shared" si="26"/>
        <v>614378.63840833341</v>
      </c>
      <c r="AM61" s="334">
        <f t="shared" si="26"/>
        <v>614565.73698333337</v>
      </c>
      <c r="AN61" s="334">
        <f t="shared" si="26"/>
        <v>616468.54545833333</v>
      </c>
      <c r="AO61" s="334">
        <f t="shared" si="26"/>
        <v>638867.59936666663</v>
      </c>
      <c r="AP61" s="334">
        <f t="shared" si="26"/>
        <v>689506.42588333332</v>
      </c>
      <c r="AQ61" s="334">
        <f t="shared" si="26"/>
        <v>740488.18700000003</v>
      </c>
      <c r="AR61" s="334">
        <f t="shared" si="26"/>
        <v>838865.0734916667</v>
      </c>
      <c r="AS61" s="334">
        <f t="shared" si="26"/>
        <v>924107.20277500001</v>
      </c>
      <c r="AT61" s="334">
        <f t="shared" si="26"/>
        <v>995828.29584999999</v>
      </c>
      <c r="AU61" s="334">
        <f t="shared" si="26"/>
        <v>1029377.394675</v>
      </c>
      <c r="AV61" s="334">
        <f t="shared" si="26"/>
        <v>1068046.2268749999</v>
      </c>
      <c r="AW61" s="334">
        <f t="shared" si="26"/>
        <v>1111908.4590749999</v>
      </c>
      <c r="AX61" s="334">
        <f t="shared" si="26"/>
        <v>1121537.9897749999</v>
      </c>
      <c r="AY61" s="334">
        <f t="shared" si="26"/>
        <v>1113624.88705</v>
      </c>
      <c r="AZ61" s="334">
        <f t="shared" si="26"/>
        <v>1143492.1908750001</v>
      </c>
      <c r="BA61" s="334">
        <f t="shared" si="26"/>
        <v>1189991.3404000001</v>
      </c>
      <c r="BB61" s="334">
        <f t="shared" si="26"/>
        <v>1262895.8225250002</v>
      </c>
      <c r="BC61" s="334">
        <f t="shared" si="26"/>
        <v>1331121.1892500003</v>
      </c>
      <c r="BD61" s="334">
        <f t="shared" si="26"/>
        <v>1427443.8993500003</v>
      </c>
      <c r="BE61" s="334">
        <f t="shared" si="26"/>
        <v>1512466.2922500004</v>
      </c>
      <c r="BF61" s="334">
        <f t="shared" si="26"/>
        <v>1579329.9467500004</v>
      </c>
      <c r="BG61" s="334">
        <f t="shared" si="26"/>
        <v>1657650.1402750004</v>
      </c>
      <c r="BH61" s="334">
        <f t="shared" si="26"/>
        <v>1699759.3397000004</v>
      </c>
      <c r="BI61" s="334">
        <f t="shared" si="26"/>
        <v>1747061.9391250003</v>
      </c>
    </row>
    <row r="62" spans="1:86" ht="15" customHeight="1" x14ac:dyDescent="0.35">
      <c r="B62" s="111"/>
      <c r="M62" s="112"/>
      <c r="N62" s="111"/>
      <c r="Y62" s="112"/>
      <c r="Z62" s="111"/>
      <c r="AK62" s="112"/>
      <c r="AL62" s="111"/>
      <c r="AW62" s="112"/>
      <c r="AX62" s="111"/>
      <c r="BI62" s="112"/>
    </row>
    <row r="63" spans="1:86" ht="15" customHeight="1" x14ac:dyDescent="0.35">
      <c r="A63" s="106" t="s">
        <v>273</v>
      </c>
      <c r="B63" s="111"/>
      <c r="M63" s="112"/>
      <c r="N63" s="111"/>
      <c r="Y63" s="112"/>
      <c r="Z63" s="111"/>
      <c r="AK63" s="112"/>
      <c r="AL63" s="111"/>
      <c r="AW63" s="112"/>
      <c r="AX63" s="111"/>
      <c r="BI63" s="112"/>
    </row>
    <row r="64" spans="1:86" ht="15" customHeight="1" x14ac:dyDescent="0.35">
      <c r="A64" t="s">
        <v>274</v>
      </c>
      <c r="B64" s="111">
        <f>ROUND(($F$2*'Plan Trésorerie Mensuel'!B64),0)</f>
        <v>14</v>
      </c>
      <c r="C64" s="111">
        <f>ROUND(($F$2*'Plan Trésorerie Mensuel'!C64),0)</f>
        <v>18</v>
      </c>
      <c r="D64" s="111">
        <f>ROUND(($F$2*'Plan Trésorerie Mensuel'!D64),0)</f>
        <v>21</v>
      </c>
      <c r="E64" s="111">
        <f>ROUND(($F$2*'Plan Trésorerie Mensuel'!E64),0)</f>
        <v>25</v>
      </c>
      <c r="F64" s="111">
        <f>ROUND(($F$2*'Plan Trésorerie Mensuel'!F64),0)</f>
        <v>35</v>
      </c>
      <c r="G64" s="111">
        <f>ROUND(($F$2*'Plan Trésorerie Mensuel'!G64),0)</f>
        <v>26</v>
      </c>
      <c r="H64" s="111">
        <f>ROUND(($F$2*'Plan Trésorerie Mensuel'!H64),0)</f>
        <v>25</v>
      </c>
      <c r="I64" s="111">
        <f>ROUND(($F$2*'Plan Trésorerie Mensuel'!I64),0)</f>
        <v>21</v>
      </c>
      <c r="J64" s="111">
        <f>ROUND(($F$2*'Plan Trésorerie Mensuel'!J64),0)</f>
        <v>18</v>
      </c>
      <c r="K64" s="111">
        <f>ROUND(($F$2*'Plan Trésorerie Mensuel'!K64),0)</f>
        <v>11</v>
      </c>
      <c r="L64" s="111">
        <f>ROUND(($F$2*'Plan Trésorerie Mensuel'!L64),0)</f>
        <v>0</v>
      </c>
      <c r="M64" s="111">
        <f>ROUND(($F$2*'Plan Trésorerie Mensuel'!M64),0)</f>
        <v>0</v>
      </c>
      <c r="N64" s="111">
        <f>ROUND(($F$2*'Plan Trésorerie Mensuel'!N64),0)</f>
        <v>28</v>
      </c>
      <c r="O64" s="111">
        <f>ROUND(($F$2*'Plan Trésorerie Mensuel'!O64),0)</f>
        <v>35</v>
      </c>
      <c r="P64" s="111">
        <f>ROUND(($F$2*'Plan Trésorerie Mensuel'!P64),0)</f>
        <v>53</v>
      </c>
      <c r="Q64" s="111">
        <f>ROUND(($F$2*'Plan Trésorerie Mensuel'!Q64),0)</f>
        <v>63</v>
      </c>
      <c r="R64" s="111">
        <f>ROUND(($F$2*'Plan Trésorerie Mensuel'!R64),0)</f>
        <v>70</v>
      </c>
      <c r="S64" s="111">
        <f>ROUND(($F$2*'Plan Trésorerie Mensuel'!S64),0)</f>
        <v>70</v>
      </c>
      <c r="T64" s="111">
        <f>ROUND(($F$2*'Plan Trésorerie Mensuel'!T64),0)</f>
        <v>49</v>
      </c>
      <c r="U64" s="111">
        <f>ROUND(($F$2*'Plan Trésorerie Mensuel'!U64),0)</f>
        <v>42</v>
      </c>
      <c r="V64" s="111">
        <f>ROUND(($F$2*'Plan Trésorerie Mensuel'!V64),0)</f>
        <v>35</v>
      </c>
      <c r="W64" s="111">
        <f>ROUND(($F$2*'Plan Trésorerie Mensuel'!W64),0)</f>
        <v>21</v>
      </c>
      <c r="X64" s="111">
        <f>ROUND(($F$2*'Plan Trésorerie Mensuel'!X64),0)</f>
        <v>0</v>
      </c>
      <c r="Y64" s="111">
        <f>ROUND(($F$2*'Plan Trésorerie Mensuel'!Y64),0)</f>
        <v>0</v>
      </c>
      <c r="Z64" s="111">
        <f>ROUND(($F$2*'Plan Trésorerie Mensuel'!Z64),0)</f>
        <v>36</v>
      </c>
      <c r="AA64" s="111">
        <f>ROUND(($F$2*'Plan Trésorerie Mensuel'!AA64),0)</f>
        <v>46</v>
      </c>
      <c r="AB64" s="111">
        <f>ROUND(($F$2*'Plan Trésorerie Mensuel'!AB64),0)</f>
        <v>69</v>
      </c>
      <c r="AC64" s="111">
        <f>ROUND(($F$2*'Plan Trésorerie Mensuel'!AC64),0)</f>
        <v>82</v>
      </c>
      <c r="AD64" s="111">
        <f>ROUND(($F$2*'Plan Trésorerie Mensuel'!AD64),0)</f>
        <v>91</v>
      </c>
      <c r="AE64" s="111">
        <f>ROUND(($F$2*'Plan Trésorerie Mensuel'!AE64),0)</f>
        <v>91</v>
      </c>
      <c r="AF64" s="111">
        <f>ROUND(($F$2*'Plan Trésorerie Mensuel'!AF64),0)</f>
        <v>64</v>
      </c>
      <c r="AG64" s="111">
        <f>ROUND(($F$2*'Plan Trésorerie Mensuel'!AG64),0)</f>
        <v>55</v>
      </c>
      <c r="AH64" s="111">
        <f>ROUND(($F$2*'Plan Trésorerie Mensuel'!AH64),0)</f>
        <v>46</v>
      </c>
      <c r="AI64" s="111">
        <f>ROUND(($F$2*'Plan Trésorerie Mensuel'!AI64),0)</f>
        <v>27</v>
      </c>
      <c r="AJ64" s="111">
        <f>ROUND(($F$2*'Plan Trésorerie Mensuel'!AJ64),0)</f>
        <v>0</v>
      </c>
      <c r="AK64" s="111">
        <f>ROUND(($F$2*'Plan Trésorerie Mensuel'!AK64),0)</f>
        <v>0</v>
      </c>
      <c r="AL64" s="111">
        <f>ROUND(($F$2*'Plan Trésorerie Mensuel'!AL64),0)</f>
        <v>44</v>
      </c>
      <c r="AM64" s="111">
        <f>ROUND(($F$2*'Plan Trésorerie Mensuel'!AM64),0)</f>
        <v>55</v>
      </c>
      <c r="AN64" s="111">
        <f>ROUND(($F$2*'Plan Trésorerie Mensuel'!AN64),0)</f>
        <v>83</v>
      </c>
      <c r="AO64" s="111">
        <f>ROUND(($F$2*'Plan Trésorerie Mensuel'!AO64),0)</f>
        <v>99</v>
      </c>
      <c r="AP64" s="111">
        <f>ROUND(($F$2*'Plan Trésorerie Mensuel'!AP64),0)</f>
        <v>110</v>
      </c>
      <c r="AQ64" s="111">
        <f>ROUND(($F$2*'Plan Trésorerie Mensuel'!AQ64),0)</f>
        <v>110</v>
      </c>
      <c r="AR64" s="111">
        <f>ROUND(($F$2*'Plan Trésorerie Mensuel'!AR64),0)</f>
        <v>77</v>
      </c>
      <c r="AS64" s="111">
        <f>ROUND(($F$2*'Plan Trésorerie Mensuel'!AS64),0)</f>
        <v>66</v>
      </c>
      <c r="AT64" s="111">
        <f>ROUND(($F$2*'Plan Trésorerie Mensuel'!AT64),0)</f>
        <v>55</v>
      </c>
      <c r="AU64" s="111">
        <f>ROUND(($F$2*'Plan Trésorerie Mensuel'!AU64),0)</f>
        <v>33</v>
      </c>
      <c r="AV64" s="111">
        <f>ROUND(($F$2*'Plan Trésorerie Mensuel'!AV64),0)</f>
        <v>0</v>
      </c>
      <c r="AW64" s="111">
        <f>ROUND(($F$2*'Plan Trésorerie Mensuel'!AW64),0)</f>
        <v>0</v>
      </c>
      <c r="AX64" s="111">
        <f>ROUND(($F$2*'Plan Trésorerie Mensuel'!AX64),0)</f>
        <v>35</v>
      </c>
      <c r="AY64" s="111">
        <f>ROUND(($F$2*'Plan Trésorerie Mensuel'!AY64),0)</f>
        <v>70</v>
      </c>
      <c r="AZ64" s="111">
        <f>ROUND(($F$2*'Plan Trésorerie Mensuel'!AZ64),0)</f>
        <v>70</v>
      </c>
      <c r="BA64" s="111">
        <f>ROUND(($F$2*'Plan Trésorerie Mensuel'!BA64),0)</f>
        <v>91</v>
      </c>
      <c r="BB64" s="111">
        <f>ROUND(($F$2*'Plan Trésorerie Mensuel'!BB64),0)</f>
        <v>105</v>
      </c>
      <c r="BC64" s="111">
        <f>ROUND(($F$2*'Plan Trésorerie Mensuel'!BC64),0)</f>
        <v>105</v>
      </c>
      <c r="BD64" s="111">
        <f>ROUND(($F$2*'Plan Trésorerie Mensuel'!BD64),0)</f>
        <v>88</v>
      </c>
      <c r="BE64" s="111">
        <f>ROUND(($F$2*'Plan Trésorerie Mensuel'!BE64),0)</f>
        <v>74</v>
      </c>
      <c r="BF64" s="111">
        <f>ROUND(($F$2*'Plan Trésorerie Mensuel'!BF64),0)</f>
        <v>66</v>
      </c>
      <c r="BG64" s="111">
        <f>ROUND(($F$2*'Plan Trésorerie Mensuel'!BG64),0)</f>
        <v>0</v>
      </c>
      <c r="BH64" s="111">
        <f>ROUND(($F$2*'Plan Trésorerie Mensuel'!BH64),0)</f>
        <v>0</v>
      </c>
      <c r="BI64" s="111">
        <f>ROUND(($F$2*'Plan Trésorerie Mensuel'!BI64),0)</f>
        <v>0</v>
      </c>
    </row>
    <row r="65" spans="1:61" ht="14.25" customHeight="1" x14ac:dyDescent="0.35">
      <c r="A65" t="s">
        <v>275</v>
      </c>
      <c r="B65" s="111">
        <f>ROUND(($F$2*'Plan Trésorerie Mensuel'!B65),0)</f>
        <v>4</v>
      </c>
      <c r="C65" s="111">
        <f>ROUND(($F$2*'Plan Trésorerie Mensuel'!C65),0)</f>
        <v>7</v>
      </c>
      <c r="D65" s="111">
        <f>ROUND(($F$2*'Plan Trésorerie Mensuel'!D65),0)</f>
        <v>11</v>
      </c>
      <c r="E65" s="111">
        <f>ROUND(($F$2*'Plan Trésorerie Mensuel'!E65),0)</f>
        <v>18</v>
      </c>
      <c r="F65" s="111">
        <f>ROUND(($F$2*'Plan Trésorerie Mensuel'!F65),0)</f>
        <v>25</v>
      </c>
      <c r="G65" s="111">
        <f>ROUND(($F$2*'Plan Trésorerie Mensuel'!G65),0)</f>
        <v>25</v>
      </c>
      <c r="H65" s="111">
        <f>ROUND(($F$2*'Plan Trésorerie Mensuel'!H65),0)</f>
        <v>25</v>
      </c>
      <c r="I65" s="111">
        <f>ROUND(($F$2*'Plan Trésorerie Mensuel'!I65),0)</f>
        <v>21</v>
      </c>
      <c r="J65" s="111">
        <f>ROUND(($F$2*'Plan Trésorerie Mensuel'!J65),0)</f>
        <v>18</v>
      </c>
      <c r="K65" s="111">
        <f>ROUND(($F$2*'Plan Trésorerie Mensuel'!K65),0)</f>
        <v>11</v>
      </c>
      <c r="L65" s="111">
        <f>ROUND(($F$2*'Plan Trésorerie Mensuel'!L65),0)</f>
        <v>7</v>
      </c>
      <c r="M65" s="111">
        <f>ROUND(($F$2*'Plan Trésorerie Mensuel'!M65),0)</f>
        <v>7</v>
      </c>
      <c r="N65" s="111">
        <f>ROUND(($F$2*'Plan Trésorerie Mensuel'!N65),0)</f>
        <v>11</v>
      </c>
      <c r="O65" s="111">
        <f>ROUND(($F$2*'Plan Trésorerie Mensuel'!O65),0)</f>
        <v>21</v>
      </c>
      <c r="P65" s="111">
        <f>ROUND(($F$2*'Plan Trésorerie Mensuel'!P65),0)</f>
        <v>35</v>
      </c>
      <c r="Q65" s="111">
        <f>ROUND(($F$2*'Plan Trésorerie Mensuel'!Q65),0)</f>
        <v>42</v>
      </c>
      <c r="R65" s="111">
        <f>ROUND(($F$2*'Plan Trésorerie Mensuel'!R65),0)</f>
        <v>49</v>
      </c>
      <c r="S65" s="111">
        <f>ROUND(($F$2*'Plan Trésorerie Mensuel'!S65),0)</f>
        <v>49</v>
      </c>
      <c r="T65" s="111">
        <f>ROUND(($F$2*'Plan Trésorerie Mensuel'!T65),0)</f>
        <v>49</v>
      </c>
      <c r="U65" s="111">
        <f>ROUND(($F$2*'Plan Trésorerie Mensuel'!U65),0)</f>
        <v>46</v>
      </c>
      <c r="V65" s="111">
        <f>ROUND(($F$2*'Plan Trésorerie Mensuel'!V65),0)</f>
        <v>35</v>
      </c>
      <c r="W65" s="111">
        <f>ROUND(($F$2*'Plan Trésorerie Mensuel'!W65),0)</f>
        <v>21</v>
      </c>
      <c r="X65" s="111">
        <f>ROUND(($F$2*'Plan Trésorerie Mensuel'!X65),0)</f>
        <v>14</v>
      </c>
      <c r="Y65" s="111">
        <f>ROUND(($F$2*'Plan Trésorerie Mensuel'!Y65),0)</f>
        <v>14</v>
      </c>
      <c r="Z65" s="111">
        <f>ROUND(($F$2*'Plan Trésorerie Mensuel'!Z65),0)</f>
        <v>28</v>
      </c>
      <c r="AA65" s="111">
        <f>ROUND(($F$2*'Plan Trésorerie Mensuel'!AA65),0)</f>
        <v>32</v>
      </c>
      <c r="AB65" s="111">
        <f>ROUND(($F$2*'Plan Trésorerie Mensuel'!AB65),0)</f>
        <v>46</v>
      </c>
      <c r="AC65" s="111">
        <f>ROUND(($F$2*'Plan Trésorerie Mensuel'!AC65),0)</f>
        <v>60</v>
      </c>
      <c r="AD65" s="111">
        <f>ROUND(($F$2*'Plan Trésorerie Mensuel'!AD65),0)</f>
        <v>70</v>
      </c>
      <c r="AE65" s="111">
        <f>ROUND(($F$2*'Plan Trésorerie Mensuel'!AE65),0)</f>
        <v>70</v>
      </c>
      <c r="AF65" s="111">
        <f>ROUND(($F$2*'Plan Trésorerie Mensuel'!AF65),0)</f>
        <v>70</v>
      </c>
      <c r="AG65" s="111">
        <f>ROUND(($F$2*'Plan Trésorerie Mensuel'!AG65),0)</f>
        <v>60</v>
      </c>
      <c r="AH65" s="111">
        <f>ROUND(($F$2*'Plan Trésorerie Mensuel'!AH65),0)</f>
        <v>53</v>
      </c>
      <c r="AI65" s="111">
        <f>ROUND(($F$2*'Plan Trésorerie Mensuel'!AI65),0)</f>
        <v>32</v>
      </c>
      <c r="AJ65" s="111">
        <f>ROUND(($F$2*'Plan Trésorerie Mensuel'!AJ65),0)</f>
        <v>21</v>
      </c>
      <c r="AK65" s="111">
        <f>ROUND(($F$2*'Plan Trésorerie Mensuel'!AK65),0)</f>
        <v>21</v>
      </c>
      <c r="AL65" s="111">
        <f>ROUND(($F$2*'Plan Trésorerie Mensuel'!AL65),0)</f>
        <v>35</v>
      </c>
      <c r="AM65" s="111">
        <f>ROUND(($F$2*'Plan Trésorerie Mensuel'!AM65),0)</f>
        <v>39</v>
      </c>
      <c r="AN65" s="111">
        <f>ROUND(($F$2*'Plan Trésorerie Mensuel'!AN65),0)</f>
        <v>57</v>
      </c>
      <c r="AO65" s="111">
        <f>ROUND(($F$2*'Plan Trésorerie Mensuel'!AO65),0)</f>
        <v>74</v>
      </c>
      <c r="AP65" s="111">
        <f>ROUND(($F$2*'Plan Trésorerie Mensuel'!AP65),0)</f>
        <v>88</v>
      </c>
      <c r="AQ65" s="111">
        <f>ROUND(($F$2*'Plan Trésorerie Mensuel'!AQ65),0)</f>
        <v>88</v>
      </c>
      <c r="AR65" s="111">
        <f>ROUND(($F$2*'Plan Trésorerie Mensuel'!AR65),0)</f>
        <v>88</v>
      </c>
      <c r="AS65" s="111">
        <f>ROUND(($F$2*'Plan Trésorerie Mensuel'!AS65),0)</f>
        <v>74</v>
      </c>
      <c r="AT65" s="111">
        <f>ROUND(($F$2*'Plan Trésorerie Mensuel'!AT65),0)</f>
        <v>66</v>
      </c>
      <c r="AU65" s="111">
        <f>ROUND(($F$2*'Plan Trésorerie Mensuel'!AU65),0)</f>
        <v>39</v>
      </c>
      <c r="AV65" s="111">
        <f>ROUND(($F$2*'Plan Trésorerie Mensuel'!AV65),0)</f>
        <v>27</v>
      </c>
      <c r="AW65" s="111">
        <f>ROUND(($F$2*'Plan Trésorerie Mensuel'!AW65),0)</f>
        <v>27</v>
      </c>
      <c r="AX65" s="111">
        <f>ROUND(($F$2*'Plan Trésorerie Mensuel'!AX65),0)</f>
        <v>35</v>
      </c>
      <c r="AY65" s="111">
        <f>ROUND(($F$2*'Plan Trésorerie Mensuel'!AY65),0)</f>
        <v>39</v>
      </c>
      <c r="AZ65" s="111">
        <f>ROUND(($F$2*'Plan Trésorerie Mensuel'!AZ65),0)</f>
        <v>57</v>
      </c>
      <c r="BA65" s="111">
        <f>ROUND(($F$2*'Plan Trésorerie Mensuel'!BA65),0)</f>
        <v>74</v>
      </c>
      <c r="BB65" s="111">
        <f>ROUND(($F$2*'Plan Trésorerie Mensuel'!BB65),0)</f>
        <v>88</v>
      </c>
      <c r="BC65" s="111">
        <f>ROUND(($F$2*'Plan Trésorerie Mensuel'!BC65),0)</f>
        <v>88</v>
      </c>
      <c r="BD65" s="111">
        <f>ROUND(($F$2*'Plan Trésorerie Mensuel'!BD65),0)</f>
        <v>88</v>
      </c>
      <c r="BE65" s="111">
        <f>ROUND(($F$2*'Plan Trésorerie Mensuel'!BE65),0)</f>
        <v>74</v>
      </c>
      <c r="BF65" s="111">
        <f>ROUND(($F$2*'Plan Trésorerie Mensuel'!BF65),0)</f>
        <v>66</v>
      </c>
      <c r="BG65" s="111">
        <f>ROUND(($F$2*'Plan Trésorerie Mensuel'!BG65),0)</f>
        <v>39</v>
      </c>
      <c r="BH65" s="111">
        <f>ROUND(($F$2*'Plan Trésorerie Mensuel'!BH65),0)</f>
        <v>27</v>
      </c>
      <c r="BI65" s="111">
        <f>ROUND(($F$2*'Plan Trésorerie Mensuel'!BI65),0)</f>
        <v>27</v>
      </c>
    </row>
    <row r="66" spans="1:61" ht="14.25" customHeight="1" x14ac:dyDescent="0.35">
      <c r="A66" t="s">
        <v>477</v>
      </c>
      <c r="B66" s="119">
        <f>N36+B64-B65</f>
        <v>21</v>
      </c>
      <c r="C66" s="120">
        <f t="shared" ref="C66:BI66" si="27">B66+C64-C65</f>
        <v>32</v>
      </c>
      <c r="D66" s="120">
        <f t="shared" si="27"/>
        <v>42</v>
      </c>
      <c r="E66" s="120">
        <f t="shared" si="27"/>
        <v>49</v>
      </c>
      <c r="F66" s="120">
        <f t="shared" si="27"/>
        <v>59</v>
      </c>
      <c r="G66" s="120">
        <f t="shared" si="27"/>
        <v>60</v>
      </c>
      <c r="H66" s="120">
        <f t="shared" si="27"/>
        <v>60</v>
      </c>
      <c r="I66" s="120">
        <f t="shared" si="27"/>
        <v>60</v>
      </c>
      <c r="J66" s="120">
        <f t="shared" si="27"/>
        <v>60</v>
      </c>
      <c r="K66" s="120">
        <f t="shared" si="27"/>
        <v>60</v>
      </c>
      <c r="L66" s="120">
        <f t="shared" si="27"/>
        <v>53</v>
      </c>
      <c r="M66" s="121">
        <f t="shared" si="27"/>
        <v>46</v>
      </c>
      <c r="N66" s="121">
        <f t="shared" si="27"/>
        <v>63</v>
      </c>
      <c r="O66" s="121">
        <f t="shared" si="27"/>
        <v>77</v>
      </c>
      <c r="P66" s="121">
        <f t="shared" si="27"/>
        <v>95</v>
      </c>
      <c r="Q66" s="121">
        <f t="shared" si="27"/>
        <v>116</v>
      </c>
      <c r="R66" s="121">
        <f t="shared" si="27"/>
        <v>137</v>
      </c>
      <c r="S66" s="121">
        <f t="shared" si="27"/>
        <v>158</v>
      </c>
      <c r="T66" s="121">
        <f t="shared" si="27"/>
        <v>158</v>
      </c>
      <c r="U66" s="121">
        <f t="shared" si="27"/>
        <v>154</v>
      </c>
      <c r="V66" s="121">
        <f t="shared" si="27"/>
        <v>154</v>
      </c>
      <c r="W66" s="121">
        <f t="shared" si="27"/>
        <v>154</v>
      </c>
      <c r="X66" s="121">
        <f t="shared" si="27"/>
        <v>140</v>
      </c>
      <c r="Y66" s="121">
        <f t="shared" si="27"/>
        <v>126</v>
      </c>
      <c r="Z66" s="284">
        <f t="shared" si="27"/>
        <v>134</v>
      </c>
      <c r="AA66" s="284">
        <f t="shared" si="27"/>
        <v>148</v>
      </c>
      <c r="AB66" s="284">
        <f t="shared" si="27"/>
        <v>171</v>
      </c>
      <c r="AC66" s="284">
        <f t="shared" si="27"/>
        <v>193</v>
      </c>
      <c r="AD66" s="284">
        <f t="shared" si="27"/>
        <v>214</v>
      </c>
      <c r="AE66" s="284">
        <f t="shared" si="27"/>
        <v>235</v>
      </c>
      <c r="AF66" s="284">
        <f t="shared" si="27"/>
        <v>229</v>
      </c>
      <c r="AG66" s="284">
        <f t="shared" si="27"/>
        <v>224</v>
      </c>
      <c r="AH66" s="284">
        <f t="shared" si="27"/>
        <v>217</v>
      </c>
      <c r="AI66" s="284">
        <f t="shared" si="27"/>
        <v>212</v>
      </c>
      <c r="AJ66" s="284">
        <f t="shared" si="27"/>
        <v>191</v>
      </c>
      <c r="AK66" s="284">
        <f t="shared" si="27"/>
        <v>170</v>
      </c>
      <c r="AL66" s="284">
        <f t="shared" si="27"/>
        <v>179</v>
      </c>
      <c r="AM66" s="284">
        <f t="shared" si="27"/>
        <v>195</v>
      </c>
      <c r="AN66" s="284">
        <f t="shared" si="27"/>
        <v>221</v>
      </c>
      <c r="AO66" s="284">
        <f t="shared" si="27"/>
        <v>246</v>
      </c>
      <c r="AP66" s="284">
        <f t="shared" si="27"/>
        <v>268</v>
      </c>
      <c r="AQ66" s="284">
        <f t="shared" si="27"/>
        <v>290</v>
      </c>
      <c r="AR66" s="284">
        <f t="shared" si="27"/>
        <v>279</v>
      </c>
      <c r="AS66" s="284">
        <f t="shared" si="27"/>
        <v>271</v>
      </c>
      <c r="AT66" s="284">
        <f t="shared" si="27"/>
        <v>260</v>
      </c>
      <c r="AU66" s="284">
        <f t="shared" si="27"/>
        <v>254</v>
      </c>
      <c r="AV66" s="284">
        <f t="shared" si="27"/>
        <v>227</v>
      </c>
      <c r="AW66" s="284">
        <f t="shared" si="27"/>
        <v>200</v>
      </c>
      <c r="AX66" s="284">
        <f t="shared" si="27"/>
        <v>200</v>
      </c>
      <c r="AY66" s="284">
        <f t="shared" si="27"/>
        <v>231</v>
      </c>
      <c r="AZ66" s="284">
        <f t="shared" si="27"/>
        <v>244</v>
      </c>
      <c r="BA66" s="284">
        <f t="shared" si="27"/>
        <v>261</v>
      </c>
      <c r="BB66" s="284">
        <f t="shared" si="27"/>
        <v>278</v>
      </c>
      <c r="BC66" s="284">
        <f t="shared" si="27"/>
        <v>295</v>
      </c>
      <c r="BD66" s="284">
        <f t="shared" si="27"/>
        <v>295</v>
      </c>
      <c r="BE66" s="284">
        <f t="shared" si="27"/>
        <v>295</v>
      </c>
      <c r="BF66" s="284">
        <f t="shared" si="27"/>
        <v>295</v>
      </c>
      <c r="BG66" s="284">
        <f t="shared" si="27"/>
        <v>256</v>
      </c>
      <c r="BH66" s="284">
        <f t="shared" si="27"/>
        <v>229</v>
      </c>
      <c r="BI66" s="284">
        <f t="shared" si="27"/>
        <v>202</v>
      </c>
    </row>
    <row r="67" spans="1:61" ht="15" customHeight="1" x14ac:dyDescent="0.35">
      <c r="L67" s="122" t="s">
        <v>282</v>
      </c>
      <c r="M67">
        <f>SUM(B64:M64)</f>
        <v>214</v>
      </c>
      <c r="X67" s="122" t="s">
        <v>282</v>
      </c>
      <c r="Y67">
        <f>SUM(N64:Y64)</f>
        <v>466</v>
      </c>
      <c r="AJ67" s="122" t="s">
        <v>282</v>
      </c>
      <c r="AK67">
        <f>SUM(Z64:AK64)</f>
        <v>607</v>
      </c>
      <c r="AV67" s="122" t="s">
        <v>282</v>
      </c>
      <c r="AW67">
        <f>SUM(AL64:AW64)</f>
        <v>732</v>
      </c>
      <c r="BH67" s="122" t="s">
        <v>282</v>
      </c>
      <c r="BI67">
        <f>SUM(AX64:BI64)</f>
        <v>704</v>
      </c>
    </row>
    <row r="68" spans="1:61" ht="14.25" customHeight="1" x14ac:dyDescent="0.35">
      <c r="L68" s="122" t="s">
        <v>283</v>
      </c>
      <c r="M68">
        <f>SUM(B65:M65)</f>
        <v>179</v>
      </c>
      <c r="X68" s="122" t="s">
        <v>283</v>
      </c>
      <c r="Y68">
        <f>SUM(N65:Y65)</f>
        <v>386</v>
      </c>
      <c r="AJ68" s="122" t="s">
        <v>283</v>
      </c>
      <c r="AK68">
        <f>SUM(Z65:AK65)</f>
        <v>563</v>
      </c>
      <c r="AV68" s="122" t="s">
        <v>283</v>
      </c>
      <c r="AW68">
        <f>SUM(AL65:AW65)</f>
        <v>702</v>
      </c>
      <c r="BH68" s="122" t="s">
        <v>283</v>
      </c>
      <c r="BI68">
        <f>SUM(AX65:BI65)</f>
        <v>702</v>
      </c>
    </row>
    <row r="69" spans="1:61" ht="15" customHeight="1" x14ac:dyDescent="0.35">
      <c r="A69" s="86" t="s">
        <v>284</v>
      </c>
      <c r="L69" t="s">
        <v>285</v>
      </c>
      <c r="M69" s="47">
        <f>SUM(B43:M43)</f>
        <v>460402.91666666669</v>
      </c>
      <c r="X69" t="s">
        <v>285</v>
      </c>
      <c r="Y69" s="47">
        <f>SUM(N43:Y43)</f>
        <v>992824.16666666674</v>
      </c>
      <c r="AJ69" t="s">
        <v>285</v>
      </c>
      <c r="AK69" s="47">
        <f>SUM(Z43:AK43)</f>
        <v>1448082.916666667</v>
      </c>
      <c r="AV69" t="s">
        <v>285</v>
      </c>
      <c r="AW69" s="47">
        <f>SUM(AL43:AW43)</f>
        <v>1805602.5000000002</v>
      </c>
      <c r="BH69" t="s">
        <v>285</v>
      </c>
      <c r="BI69" s="47">
        <f>SUM(AX43:BI43)</f>
        <v>1895882.6250000002</v>
      </c>
    </row>
    <row r="70" spans="1:61" ht="15" customHeight="1" x14ac:dyDescent="0.35">
      <c r="L70" t="s">
        <v>286</v>
      </c>
      <c r="M70" s="47">
        <f>SUM(B60:M60)</f>
        <v>-56854.191216666615</v>
      </c>
      <c r="X70" t="s">
        <v>286</v>
      </c>
      <c r="Y70" s="47">
        <f>SUM(N60:Y60)</f>
        <v>124172.66678333338</v>
      </c>
      <c r="AJ70" t="s">
        <v>286</v>
      </c>
      <c r="AK70" s="47">
        <f>SUM(Z60:AK60)</f>
        <v>405181.33240833331</v>
      </c>
      <c r="AV70" t="s">
        <v>286</v>
      </c>
      <c r="AW70" s="47">
        <f>SUM(AL60:AW60)</f>
        <v>486822.56370000006</v>
      </c>
      <c r="BH70" t="s">
        <v>286</v>
      </c>
      <c r="BI70" s="47">
        <f>SUM(AX60:BI60)</f>
        <v>635153.48005000025</v>
      </c>
    </row>
    <row r="71" spans="1:61" ht="15" customHeight="1" x14ac:dyDescent="0.35">
      <c r="A71" s="33" t="s">
        <v>287</v>
      </c>
    </row>
    <row r="72" spans="1:61" ht="15" customHeight="1" x14ac:dyDescent="0.35">
      <c r="A72" t="s">
        <v>288</v>
      </c>
    </row>
    <row r="73" spans="1:61" ht="15" customHeight="1" x14ac:dyDescent="0.35">
      <c r="A73" t="s">
        <v>289</v>
      </c>
    </row>
    <row r="74" spans="1:61" ht="15" customHeight="1" x14ac:dyDescent="0.35">
      <c r="A74" t="s">
        <v>463</v>
      </c>
    </row>
    <row r="75" spans="1:61" ht="15" customHeight="1" x14ac:dyDescent="0.35"/>
    <row r="77" spans="1:61" ht="15" customHeight="1" x14ac:dyDescent="0.35">
      <c r="A77" t="s">
        <v>464</v>
      </c>
    </row>
    <row r="78" spans="1:61" ht="15" customHeight="1" x14ac:dyDescent="0.35"/>
    <row r="79" spans="1:61" ht="15" customHeight="1" x14ac:dyDescent="0.35">
      <c r="A79" s="123" t="s">
        <v>290</v>
      </c>
      <c r="B79" s="124">
        <f>MIN(B61:BI61)</f>
        <v>40215.157758333313</v>
      </c>
    </row>
    <row r="80" spans="1:61" ht="14.25" customHeight="1" x14ac:dyDescent="0.35">
      <c r="A80" t="s">
        <v>291</v>
      </c>
      <c r="B80" s="124">
        <f>N31</f>
        <v>152586.08739999993</v>
      </c>
    </row>
    <row r="81" spans="1:2" ht="15" customHeight="1" x14ac:dyDescent="0.35">
      <c r="A81" t="s">
        <v>292</v>
      </c>
      <c r="B81" s="124">
        <f>M61</f>
        <v>95731.896183333316</v>
      </c>
    </row>
    <row r="83" spans="1:2" ht="14.25" customHeight="1" x14ac:dyDescent="0.35">
      <c r="A83" s="85"/>
    </row>
    <row r="84" spans="1:2" ht="15" customHeight="1" x14ac:dyDescent="0.35"/>
    <row r="85" spans="1:2" x14ac:dyDescent="0.35">
      <c r="A85" s="33"/>
    </row>
    <row r="86" spans="1:2" ht="15" customHeight="1" x14ac:dyDescent="0.35"/>
    <row r="87" spans="1:2" ht="15" customHeight="1" x14ac:dyDescent="0.35">
      <c r="A87" t="s">
        <v>474</v>
      </c>
    </row>
    <row r="88" spans="1:2" ht="15" customHeight="1" x14ac:dyDescent="0.35"/>
    <row r="89" spans="1:2" ht="15" customHeight="1" x14ac:dyDescent="0.35"/>
    <row r="90" spans="1:2" ht="15" customHeight="1" x14ac:dyDescent="0.35">
      <c r="A90" t="s">
        <v>294</v>
      </c>
    </row>
    <row r="91" spans="1:2" ht="15" customHeight="1" x14ac:dyDescent="0.35">
      <c r="A91" t="s">
        <v>295</v>
      </c>
    </row>
    <row r="92" spans="1:2" ht="15" customHeight="1" x14ac:dyDescent="0.35">
      <c r="A92" t="s">
        <v>296</v>
      </c>
    </row>
    <row r="93" spans="1:2" ht="14.25" customHeight="1" x14ac:dyDescent="0.35">
      <c r="A93" t="s">
        <v>297</v>
      </c>
    </row>
    <row r="94" spans="1:2" ht="15" customHeight="1" x14ac:dyDescent="0.35">
      <c r="A94" t="s">
        <v>298</v>
      </c>
    </row>
    <row r="95" spans="1:2" ht="15" customHeight="1" x14ac:dyDescent="0.35"/>
    <row r="96" spans="1:2" ht="15" customHeight="1" x14ac:dyDescent="0.35"/>
    <row r="97" ht="15" customHeight="1" x14ac:dyDescent="0.35"/>
    <row r="98" ht="26" customHeight="1" x14ac:dyDescent="0.35"/>
    <row r="99" ht="15" customHeight="1" x14ac:dyDescent="0.35"/>
    <row r="100" ht="15" customHeight="1" x14ac:dyDescent="0.35"/>
    <row r="101" ht="14.25" customHeight="1" x14ac:dyDescent="0.35"/>
    <row r="102" ht="14.25" customHeight="1" x14ac:dyDescent="0.35"/>
    <row r="103" ht="14.25" customHeight="1" x14ac:dyDescent="0.35"/>
    <row r="104"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sheetData>
  <mergeCells count="5">
    <mergeCell ref="B38:M38"/>
    <mergeCell ref="N38:Y38"/>
    <mergeCell ref="Z38:AK38"/>
    <mergeCell ref="AL38:AW38"/>
    <mergeCell ref="AX38:BI38"/>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BE7EB-F0E2-494F-92B6-76E22F0707E8}">
  <sheetPr>
    <tabColor rgb="FFFF0000"/>
  </sheetPr>
  <dimension ref="A1:BI117"/>
  <sheetViews>
    <sheetView topLeftCell="A5" zoomScale="90" zoomScaleNormal="90" workbookViewId="0">
      <pane xSplit="1" topLeftCell="B1" activePane="topRight" state="frozen"/>
      <selection activeCell="A3" sqref="A3"/>
      <selection pane="topRight" activeCell="I64" sqref="I64"/>
    </sheetView>
  </sheetViews>
  <sheetFormatPr baseColWidth="10" defaultColWidth="8.6328125" defaultRowHeight="14.5" x14ac:dyDescent="0.35"/>
  <cols>
    <col min="1" max="1" width="42.36328125" customWidth="1"/>
    <col min="2" max="2" width="10.81640625" customWidth="1"/>
    <col min="3" max="3" width="17.36328125" bestFit="1" customWidth="1"/>
    <col min="4" max="61" width="10.81640625" customWidth="1"/>
  </cols>
  <sheetData>
    <row r="1" spans="1:15" ht="17.25" customHeight="1" x14ac:dyDescent="0.35">
      <c r="A1" s="100" t="s">
        <v>244</v>
      </c>
    </row>
    <row r="2" spans="1:15" ht="15" customHeight="1" x14ac:dyDescent="0.35">
      <c r="A2" s="85" t="s">
        <v>245</v>
      </c>
    </row>
    <row r="4" spans="1:15" ht="15" customHeight="1" x14ac:dyDescent="0.35">
      <c r="A4" s="86" t="s">
        <v>246</v>
      </c>
    </row>
    <row r="5" spans="1:15" ht="15" customHeight="1" x14ac:dyDescent="0.35">
      <c r="B5" s="101" t="s">
        <v>247</v>
      </c>
      <c r="C5" s="101" t="s">
        <v>248</v>
      </c>
      <c r="D5" s="101" t="s">
        <v>249</v>
      </c>
      <c r="E5" s="101" t="s">
        <v>250</v>
      </c>
      <c r="F5" s="101" t="s">
        <v>251</v>
      </c>
      <c r="G5" s="101" t="s">
        <v>55</v>
      </c>
      <c r="H5" s="101" t="s">
        <v>56</v>
      </c>
      <c r="I5" s="101" t="s">
        <v>252</v>
      </c>
      <c r="J5" s="101" t="s">
        <v>58</v>
      </c>
      <c r="K5" s="101" t="s">
        <v>253</v>
      </c>
      <c r="L5" s="101" t="s">
        <v>254</v>
      </c>
      <c r="M5" s="101" t="s">
        <v>255</v>
      </c>
      <c r="N5" s="101" t="s">
        <v>256</v>
      </c>
      <c r="O5" s="285" t="s">
        <v>17</v>
      </c>
    </row>
    <row r="6" spans="1:15" ht="15" customHeight="1" x14ac:dyDescent="0.35">
      <c r="A6" s="102" t="s">
        <v>257</v>
      </c>
      <c r="O6" s="286"/>
    </row>
    <row r="7" spans="1:15" ht="15" customHeight="1" x14ac:dyDescent="0.35">
      <c r="A7" t="s">
        <v>8</v>
      </c>
      <c r="B7" s="277">
        <f>Dashboard!B9</f>
        <v>100000</v>
      </c>
      <c r="C7" s="277">
        <v>0</v>
      </c>
      <c r="D7" s="277">
        <v>0</v>
      </c>
      <c r="E7" s="277">
        <v>0</v>
      </c>
      <c r="F7" s="277">
        <v>0</v>
      </c>
      <c r="G7" s="277">
        <v>0</v>
      </c>
      <c r="H7" s="277">
        <v>0</v>
      </c>
      <c r="I7" s="277">
        <v>0</v>
      </c>
      <c r="J7" s="277">
        <v>0</v>
      </c>
      <c r="K7" s="277">
        <v>0</v>
      </c>
      <c r="L7" s="277">
        <v>0</v>
      </c>
      <c r="M7" s="277">
        <v>0</v>
      </c>
      <c r="N7" s="277">
        <v>0</v>
      </c>
      <c r="O7" s="287">
        <f>SUM(B7:N7)</f>
        <v>100000</v>
      </c>
    </row>
    <row r="8" spans="1:15" ht="15" customHeight="1" x14ac:dyDescent="0.35">
      <c r="A8" t="s">
        <v>226</v>
      </c>
      <c r="B8" s="277">
        <v>0</v>
      </c>
      <c r="C8" s="277">
        <v>89000</v>
      </c>
      <c r="D8" s="277">
        <v>0</v>
      </c>
      <c r="E8" s="277">
        <v>0</v>
      </c>
      <c r="F8" s="277">
        <v>0</v>
      </c>
      <c r="G8" s="277">
        <v>0</v>
      </c>
      <c r="H8" s="277">
        <v>0</v>
      </c>
      <c r="I8" s="277">
        <v>0</v>
      </c>
      <c r="J8" s="277">
        <v>0</v>
      </c>
      <c r="K8" s="277">
        <v>0</v>
      </c>
      <c r="L8" s="277">
        <v>0</v>
      </c>
      <c r="M8" s="277">
        <v>0</v>
      </c>
      <c r="N8" s="277">
        <v>0</v>
      </c>
      <c r="O8" s="287">
        <f>SUM(B8:N8)</f>
        <v>89000</v>
      </c>
    </row>
    <row r="9" spans="1:15" ht="15" customHeight="1" x14ac:dyDescent="0.35">
      <c r="A9" t="s">
        <v>258</v>
      </c>
      <c r="B9" s="277">
        <v>0</v>
      </c>
      <c r="C9" s="277">
        <v>0</v>
      </c>
      <c r="D9" s="277">
        <v>0</v>
      </c>
      <c r="E9" s="277"/>
      <c r="F9" s="277">
        <v>0</v>
      </c>
      <c r="G9" s="277">
        <f>'Emprunt Bancaire'!B4</f>
        <v>189000</v>
      </c>
      <c r="H9" s="277">
        <v>0</v>
      </c>
      <c r="I9" s="277">
        <v>0</v>
      </c>
      <c r="J9" s="277">
        <v>0</v>
      </c>
      <c r="K9" s="277">
        <v>0</v>
      </c>
      <c r="L9" s="277">
        <v>0</v>
      </c>
      <c r="M9" s="277">
        <v>0</v>
      </c>
      <c r="N9" s="277">
        <v>0</v>
      </c>
      <c r="O9" s="287">
        <f>SUM(B9:N9)</f>
        <v>189000</v>
      </c>
    </row>
    <row r="10" spans="1:15" ht="15" customHeight="1" x14ac:dyDescent="0.35">
      <c r="B10" s="277"/>
      <c r="C10" s="277"/>
      <c r="D10" s="277"/>
      <c r="E10" s="277"/>
      <c r="F10" s="277"/>
      <c r="G10" s="277"/>
      <c r="H10" s="277"/>
      <c r="I10" s="277"/>
      <c r="J10" s="277"/>
      <c r="K10" s="277"/>
      <c r="L10" s="277"/>
      <c r="M10" s="277"/>
      <c r="N10" s="277"/>
      <c r="O10" s="288">
        <f>SUM(O8:O9)</f>
        <v>278000</v>
      </c>
    </row>
    <row r="11" spans="1:15" ht="15" customHeight="1" x14ac:dyDescent="0.35">
      <c r="B11" s="277"/>
      <c r="C11" s="277"/>
      <c r="D11" s="277"/>
      <c r="E11" s="277"/>
      <c r="F11" s="277"/>
      <c r="G11" s="277"/>
      <c r="H11" s="277"/>
      <c r="I11" s="277"/>
      <c r="J11" s="277"/>
      <c r="K11" s="277"/>
      <c r="L11" s="277"/>
      <c r="M11" s="277"/>
      <c r="N11" s="277"/>
      <c r="O11" s="287"/>
    </row>
    <row r="12" spans="1:15" ht="15" customHeight="1" x14ac:dyDescent="0.35">
      <c r="A12" t="s">
        <v>259</v>
      </c>
      <c r="B12" s="277">
        <v>0</v>
      </c>
      <c r="C12" s="277">
        <f>C34*'Marges Produits'!$C$49</f>
        <v>0</v>
      </c>
      <c r="D12" s="277">
        <f>D34*'Marges Produits'!$C$49</f>
        <v>0</v>
      </c>
      <c r="E12" s="277">
        <f>E34*'Marges Produits'!$C$49</f>
        <v>0</v>
      </c>
      <c r="F12" s="277">
        <f>F34*'Marges Produits'!$C$49</f>
        <v>0</v>
      </c>
      <c r="G12" s="277">
        <f>G34*'Marges Produits'!$C$49</f>
        <v>0</v>
      </c>
      <c r="H12" s="277">
        <f>H34*'Marges Produits'!$C$49</f>
        <v>0</v>
      </c>
      <c r="I12" s="277">
        <f>I34*'Marges Produits'!$C$49</f>
        <v>0</v>
      </c>
      <c r="J12" s="277">
        <f>J34*'Marges Produits'!$C$49</f>
        <v>0</v>
      </c>
      <c r="K12" s="277">
        <f>K34*'Marges Produits'!$C$49</f>
        <v>0</v>
      </c>
      <c r="L12" s="277">
        <f>L34*'Marges Produits'!$C$49</f>
        <v>0</v>
      </c>
      <c r="M12" s="277">
        <f>M34*'Marges Produits'!$C$49</f>
        <v>0</v>
      </c>
      <c r="N12" s="277">
        <f>N34*'Marges Produits'!$C$49</f>
        <v>0</v>
      </c>
      <c r="O12" s="287">
        <f>SUM(B12:N12)</f>
        <v>0</v>
      </c>
    </row>
    <row r="13" spans="1:15" ht="15" customHeight="1" x14ac:dyDescent="0.35">
      <c r="A13" s="33" t="s">
        <v>260</v>
      </c>
      <c r="B13" s="277">
        <f t="shared" ref="B13:N13" si="0">SUM(B7:B12)</f>
        <v>100000</v>
      </c>
      <c r="C13" s="277">
        <f t="shared" si="0"/>
        <v>89000</v>
      </c>
      <c r="D13" s="277">
        <f t="shared" si="0"/>
        <v>0</v>
      </c>
      <c r="E13" s="277">
        <f t="shared" si="0"/>
        <v>0</v>
      </c>
      <c r="F13" s="277">
        <f t="shared" si="0"/>
        <v>0</v>
      </c>
      <c r="G13" s="277">
        <f t="shared" si="0"/>
        <v>189000</v>
      </c>
      <c r="H13" s="277">
        <f t="shared" si="0"/>
        <v>0</v>
      </c>
      <c r="I13" s="277">
        <f t="shared" si="0"/>
        <v>0</v>
      </c>
      <c r="J13" s="277">
        <f t="shared" si="0"/>
        <v>0</v>
      </c>
      <c r="K13" s="277">
        <f t="shared" si="0"/>
        <v>0</v>
      </c>
      <c r="L13" s="277">
        <f t="shared" si="0"/>
        <v>0</v>
      </c>
      <c r="M13" s="277">
        <f t="shared" si="0"/>
        <v>0</v>
      </c>
      <c r="N13" s="277">
        <f t="shared" si="0"/>
        <v>0</v>
      </c>
      <c r="O13" s="287">
        <f>SUM(B13:N13)</f>
        <v>378000</v>
      </c>
    </row>
    <row r="14" spans="1:15" ht="14.25" customHeight="1" x14ac:dyDescent="0.35">
      <c r="B14" s="277"/>
      <c r="C14" s="277"/>
      <c r="D14" s="277"/>
      <c r="E14" s="277"/>
      <c r="F14" s="277"/>
      <c r="G14" s="277"/>
      <c r="H14" s="277"/>
      <c r="I14" s="277"/>
      <c r="J14" s="277"/>
      <c r="K14" s="277"/>
      <c r="L14" s="277"/>
      <c r="M14" s="277"/>
      <c r="N14" s="277"/>
      <c r="O14" s="287"/>
    </row>
    <row r="15" spans="1:15" ht="15" customHeight="1" x14ac:dyDescent="0.35">
      <c r="A15" s="102" t="s">
        <v>261</v>
      </c>
      <c r="B15" s="277"/>
      <c r="C15" s="277"/>
      <c r="D15" s="277"/>
      <c r="E15" s="277"/>
      <c r="F15" s="277"/>
      <c r="G15" s="277"/>
      <c r="H15" s="277"/>
      <c r="I15" s="277"/>
      <c r="J15" s="277"/>
      <c r="K15" s="277"/>
      <c r="L15" s="277"/>
      <c r="M15" s="277"/>
      <c r="N15" s="277"/>
      <c r="O15" s="287"/>
    </row>
    <row r="16" spans="1:15" ht="15" customHeight="1" x14ac:dyDescent="0.35">
      <c r="A16" t="s">
        <v>262</v>
      </c>
      <c r="B16" s="277">
        <f>'Frais de lancement'!B9</f>
        <v>3803</v>
      </c>
      <c r="C16" s="277">
        <v>0</v>
      </c>
      <c r="D16" s="277">
        <v>0</v>
      </c>
      <c r="E16" s="277">
        <v>0</v>
      </c>
      <c r="F16" s="277">
        <v>0</v>
      </c>
      <c r="G16" s="277">
        <v>0</v>
      </c>
      <c r="H16" s="277">
        <v>0</v>
      </c>
      <c r="I16" s="277">
        <v>0</v>
      </c>
      <c r="J16" s="277">
        <v>0</v>
      </c>
      <c r="K16" s="277">
        <v>0</v>
      </c>
      <c r="L16" s="277">
        <v>0</v>
      </c>
      <c r="M16" s="277">
        <v>0</v>
      </c>
      <c r="N16" s="277">
        <v>0</v>
      </c>
      <c r="O16" s="287">
        <f t="shared" ref="O16:O26" si="1">SUM(B16:N16)</f>
        <v>3803</v>
      </c>
    </row>
    <row r="17" spans="1:15" ht="15" customHeight="1" x14ac:dyDescent="0.35">
      <c r="A17" t="s">
        <v>263</v>
      </c>
      <c r="B17" s="277">
        <v>0</v>
      </c>
      <c r="C17" s="277">
        <f>'Charges Fixes Plume'!G34</f>
        <v>10000</v>
      </c>
      <c r="D17" s="277">
        <f>'Charges Fixes Plume'!H34</f>
        <v>0</v>
      </c>
      <c r="E17" s="277">
        <f>'Charges Fixes Plume'!I34</f>
        <v>0</v>
      </c>
      <c r="F17" s="277">
        <f>'Charges Fixes Plume'!J34</f>
        <v>0</v>
      </c>
      <c r="G17" s="277">
        <f>'Charges Fixes Plume'!K34</f>
        <v>2517.1019999999999</v>
      </c>
      <c r="H17" s="277">
        <f>'Charges Fixes Plume'!L34</f>
        <v>2517.1019999999999</v>
      </c>
      <c r="I17" s="277">
        <f>'Charges Fixes Plume'!M34</f>
        <v>2517.1019999999999</v>
      </c>
      <c r="J17" s="277">
        <f>'Charges Fixes Plume'!N34</f>
        <v>2517.1019999999999</v>
      </c>
      <c r="K17" s="277">
        <f>'Charges Fixes Plume'!O34</f>
        <v>2517.1019999999999</v>
      </c>
      <c r="L17" s="277">
        <f>'Charges Fixes Plume'!P34</f>
        <v>2517.1019999999999</v>
      </c>
      <c r="M17" s="277">
        <f>'Charges Fixes Plume'!Q34</f>
        <v>2517.1019999999999</v>
      </c>
      <c r="N17" s="277">
        <f>'Charges Fixes Plume'!R34</f>
        <v>2517.1019999999999</v>
      </c>
      <c r="O17" s="287">
        <f t="shared" si="1"/>
        <v>30136.815999999992</v>
      </c>
    </row>
    <row r="18" spans="1:15" ht="15" customHeight="1" x14ac:dyDescent="0.35">
      <c r="A18" t="s">
        <v>105</v>
      </c>
      <c r="B18" s="277">
        <v>0</v>
      </c>
      <c r="C18" s="277">
        <v>2500</v>
      </c>
      <c r="D18" s="277">
        <v>0</v>
      </c>
      <c r="E18" s="277">
        <v>0</v>
      </c>
      <c r="F18" s="277">
        <v>0</v>
      </c>
      <c r="G18" s="277">
        <v>0</v>
      </c>
      <c r="H18" s="277">
        <v>0</v>
      </c>
      <c r="I18" s="277">
        <v>2500</v>
      </c>
      <c r="J18" s="277">
        <v>0</v>
      </c>
      <c r="K18" s="277">
        <v>0</v>
      </c>
      <c r="L18" s="277">
        <v>0</v>
      </c>
      <c r="M18" s="277">
        <v>0</v>
      </c>
      <c r="N18" s="277">
        <v>0</v>
      </c>
      <c r="O18" s="287">
        <f t="shared" si="1"/>
        <v>5000</v>
      </c>
    </row>
    <row r="19" spans="1:15" ht="15" customHeight="1" x14ac:dyDescent="0.35">
      <c r="A19" t="s">
        <v>21</v>
      </c>
      <c r="B19" s="277">
        <f>'Charges Fixes Plume'!R$13/2</f>
        <v>2170.8333333333335</v>
      </c>
      <c r="C19" s="277">
        <f>'Charges Fixes Plume'!G13</f>
        <v>10907.666666666668</v>
      </c>
      <c r="D19" s="277">
        <f>'Charges Fixes Plume'!H13</f>
        <v>6341.666666666667</v>
      </c>
      <c r="E19" s="277">
        <f>'Charges Fixes Plume'!I13</f>
        <v>10907.666666666668</v>
      </c>
      <c r="F19" s="277">
        <f>'Charges Fixes Plume'!J13</f>
        <v>4341.666666666667</v>
      </c>
      <c r="G19" s="277">
        <f>'Charges Fixes Plume'!K13</f>
        <v>8907.6666666666679</v>
      </c>
      <c r="H19" s="277">
        <f>'Charges Fixes Plume'!L13</f>
        <v>4341.666666666667</v>
      </c>
      <c r="I19" s="277">
        <f>'Charges Fixes Plume'!M13</f>
        <v>7907.666666666667</v>
      </c>
      <c r="J19" s="277">
        <f>'Charges Fixes Plume'!N13</f>
        <v>3341.666666666667</v>
      </c>
      <c r="K19" s="277">
        <f>'Charges Fixes Plume'!O13</f>
        <v>8907.6666666666679</v>
      </c>
      <c r="L19" s="277">
        <f>'Charges Fixes Plume'!P13</f>
        <v>4341.666666666667</v>
      </c>
      <c r="M19" s="277">
        <f>'Charges Fixes Plume'!Q13</f>
        <v>8907.6666666666679</v>
      </c>
      <c r="N19" s="277">
        <f>'Charges Fixes Plume'!R13</f>
        <v>4341.666666666667</v>
      </c>
      <c r="O19" s="287">
        <f>SUM(B19:N19)</f>
        <v>85666.833333333343</v>
      </c>
    </row>
    <row r="20" spans="1:15" ht="15" customHeight="1" x14ac:dyDescent="0.35">
      <c r="A20" t="s">
        <v>264</v>
      </c>
      <c r="B20" s="277">
        <f>'Charges Fixes Plume'!R$29/2</f>
        <v>1728.6499999999999</v>
      </c>
      <c r="C20" s="277">
        <f>'Charges Fixes Plume'!G29</f>
        <v>9057.2999999999993</v>
      </c>
      <c r="D20" s="277">
        <f>'Charges Fixes Plume'!H29</f>
        <v>3977.2999999999997</v>
      </c>
      <c r="E20" s="277">
        <f>'Charges Fixes Plume'!I29</f>
        <v>3407.2999999999997</v>
      </c>
      <c r="F20" s="277">
        <f>'Charges Fixes Plume'!J29</f>
        <v>4407.2999999999993</v>
      </c>
      <c r="G20" s="277">
        <f>'Charges Fixes Plume'!K29</f>
        <v>3407.2999999999997</v>
      </c>
      <c r="H20" s="277">
        <f>'Charges Fixes Plume'!L29</f>
        <v>3407.2999999999997</v>
      </c>
      <c r="I20" s="277">
        <f>'Charges Fixes Plume'!M29</f>
        <v>4407.2999999999993</v>
      </c>
      <c r="J20" s="277">
        <f>'Charges Fixes Plume'!N29</f>
        <v>3407.2999999999997</v>
      </c>
      <c r="K20" s="277">
        <f>'Charges Fixes Plume'!O29</f>
        <v>3407.2999999999997</v>
      </c>
      <c r="L20" s="277">
        <f>'Charges Fixes Plume'!P29</f>
        <v>4407.2999999999993</v>
      </c>
      <c r="M20" s="277">
        <f>'Charges Fixes Plume'!Q29</f>
        <v>3407.2999999999997</v>
      </c>
      <c r="N20" s="277">
        <f>'Charges Fixes Plume'!R29</f>
        <v>3457.2999999999997</v>
      </c>
      <c r="O20" s="287">
        <f t="shared" si="1"/>
        <v>51886.250000000015</v>
      </c>
    </row>
    <row r="21" spans="1:15" ht="15" customHeight="1" x14ac:dyDescent="0.35">
      <c r="A21" t="s">
        <v>265</v>
      </c>
      <c r="B21" s="277">
        <v>0</v>
      </c>
      <c r="C21" s="277">
        <v>0</v>
      </c>
      <c r="D21" s="277">
        <v>0</v>
      </c>
      <c r="E21" s="277"/>
      <c r="F21" s="277">
        <v>0</v>
      </c>
      <c r="G21" s="277">
        <v>0</v>
      </c>
      <c r="H21" s="277">
        <v>0</v>
      </c>
      <c r="I21" s="277">
        <v>0</v>
      </c>
      <c r="J21" s="277"/>
      <c r="K21" s="277">
        <v>0</v>
      </c>
      <c r="L21" s="277">
        <v>0</v>
      </c>
      <c r="M21" s="277">
        <v>0</v>
      </c>
      <c r="N21" s="277">
        <v>0</v>
      </c>
      <c r="O21" s="287">
        <f t="shared" si="1"/>
        <v>0</v>
      </c>
    </row>
    <row r="22" spans="1:15" ht="15" customHeight="1" x14ac:dyDescent="0.35">
      <c r="A22" t="s">
        <v>266</v>
      </c>
      <c r="B22" s="277">
        <v>0</v>
      </c>
      <c r="C22" s="277">
        <v>0</v>
      </c>
      <c r="D22" s="277">
        <v>0</v>
      </c>
      <c r="E22" s="277"/>
      <c r="F22" s="277"/>
      <c r="G22" s="277">
        <v>0</v>
      </c>
      <c r="H22" s="277">
        <v>0</v>
      </c>
      <c r="I22" s="277">
        <v>0</v>
      </c>
      <c r="J22" s="277"/>
      <c r="K22" s="277">
        <v>0</v>
      </c>
      <c r="L22" s="277">
        <v>0</v>
      </c>
      <c r="M22" s="277">
        <v>0</v>
      </c>
      <c r="N22" s="277">
        <v>0</v>
      </c>
      <c r="O22" s="287">
        <f t="shared" si="1"/>
        <v>0</v>
      </c>
    </row>
    <row r="23" spans="1:15" ht="15" customHeight="1" x14ac:dyDescent="0.35">
      <c r="A23" s="279" t="s">
        <v>461</v>
      </c>
      <c r="B23" s="280">
        <v>0</v>
      </c>
      <c r="C23" s="280">
        <f>C33*'Marges Produits'!$E$49</f>
        <v>0</v>
      </c>
      <c r="D23" s="280">
        <f>D33*'Marges Produits'!$E$49</f>
        <v>0</v>
      </c>
      <c r="E23" s="280">
        <f>E33*'Marges Produits'!$E$49</f>
        <v>0</v>
      </c>
      <c r="F23" s="280">
        <f>F33*'Marges Produits'!$E$49</f>
        <v>0</v>
      </c>
      <c r="G23" s="280">
        <f>G33*'Marges Produits'!$E$49</f>
        <v>0</v>
      </c>
      <c r="H23" s="280">
        <f>H33*'Marges Produits'!$E$49</f>
        <v>0</v>
      </c>
      <c r="I23" s="280">
        <f>I33*'Marges Produits'!$E$49</f>
        <v>0</v>
      </c>
      <c r="J23" s="280">
        <f>J33*'Marges Produits'!$E$49</f>
        <v>0</v>
      </c>
      <c r="K23" s="280">
        <f>K33*'Marges Produits'!$E$49</f>
        <v>0</v>
      </c>
      <c r="L23" s="280">
        <f>L33*'Marges Produits'!$E$49</f>
        <v>0</v>
      </c>
      <c r="M23" s="280">
        <f>M33*'Marges Produits'!$E$49</f>
        <v>0</v>
      </c>
      <c r="N23" s="280">
        <f>N33*'Marges Produits'!$E$49</f>
        <v>0</v>
      </c>
      <c r="O23" s="287">
        <f t="shared" si="1"/>
        <v>0</v>
      </c>
    </row>
    <row r="24" spans="1:15" ht="15" customHeight="1" x14ac:dyDescent="0.35">
      <c r="A24" t="s">
        <v>267</v>
      </c>
      <c r="B24" s="277">
        <v>0</v>
      </c>
      <c r="C24" s="277">
        <v>0</v>
      </c>
      <c r="D24" s="277">
        <v>0</v>
      </c>
      <c r="E24" s="277">
        <v>0</v>
      </c>
      <c r="F24" s="277"/>
      <c r="G24" s="277">
        <f>'Emprunt Bancaire'!$B$27</f>
        <v>4367</v>
      </c>
      <c r="H24" s="277">
        <f>'Emprunt Bancaire'!$B$27</f>
        <v>4367</v>
      </c>
      <c r="I24" s="277">
        <f>'Emprunt Bancaire'!$B$27</f>
        <v>4367</v>
      </c>
      <c r="J24" s="277">
        <f>'Emprunt Bancaire'!$B$27</f>
        <v>4367</v>
      </c>
      <c r="K24" s="277">
        <f>'Emprunt Bancaire'!$B$27</f>
        <v>4367</v>
      </c>
      <c r="L24" s="277">
        <f>'Emprunt Bancaire'!$B$27</f>
        <v>4367</v>
      </c>
      <c r="M24" s="277">
        <f>'Emprunt Bancaire'!$B$27</f>
        <v>4367</v>
      </c>
      <c r="N24" s="277">
        <f>'Emprunt Bancaire'!$B$27</f>
        <v>4367</v>
      </c>
      <c r="O24" s="287">
        <f t="shared" si="1"/>
        <v>34936</v>
      </c>
    </row>
    <row r="25" spans="1:15" ht="14.25" customHeight="1" x14ac:dyDescent="0.35">
      <c r="A25" t="s">
        <v>268</v>
      </c>
      <c r="B25" s="277">
        <f t="shared" ref="B25:N25" si="2">B12*0.008</f>
        <v>0</v>
      </c>
      <c r="C25" s="277">
        <f t="shared" si="2"/>
        <v>0</v>
      </c>
      <c r="D25" s="277">
        <f t="shared" si="2"/>
        <v>0</v>
      </c>
      <c r="E25" s="277">
        <f t="shared" si="2"/>
        <v>0</v>
      </c>
      <c r="F25" s="277">
        <f t="shared" si="2"/>
        <v>0</v>
      </c>
      <c r="G25" s="277">
        <f t="shared" si="2"/>
        <v>0</v>
      </c>
      <c r="H25" s="277">
        <f t="shared" si="2"/>
        <v>0</v>
      </c>
      <c r="I25" s="277">
        <f t="shared" si="2"/>
        <v>0</v>
      </c>
      <c r="J25" s="277">
        <f t="shared" si="2"/>
        <v>0</v>
      </c>
      <c r="K25" s="277">
        <f t="shared" si="2"/>
        <v>0</v>
      </c>
      <c r="L25" s="277">
        <f t="shared" si="2"/>
        <v>0</v>
      </c>
      <c r="M25" s="277">
        <f t="shared" si="2"/>
        <v>0</v>
      </c>
      <c r="N25" s="277">
        <f t="shared" si="2"/>
        <v>0</v>
      </c>
      <c r="O25" s="287">
        <f t="shared" si="1"/>
        <v>0</v>
      </c>
    </row>
    <row r="26" spans="1:15" ht="15" customHeight="1" x14ac:dyDescent="0.35">
      <c r="A26" t="s">
        <v>269</v>
      </c>
      <c r="B26" s="277">
        <f t="array" ref="B26">SUM(B16:B25*0.15)</f>
        <v>1155.3724999999999</v>
      </c>
      <c r="C26" s="277">
        <f t="array" ref="C26">SUM(C16:C25*0.15)</f>
        <v>4869.7449999999999</v>
      </c>
      <c r="D26" s="277">
        <f t="array" ref="D26">SUM(D16:D25*0.15)</f>
        <v>1547.8449999999998</v>
      </c>
      <c r="E26" s="277">
        <f t="array" ref="E26">SUM(E16:E25*0.15)</f>
        <v>2147.2449999999999</v>
      </c>
      <c r="F26" s="277">
        <f t="array" ref="F26">SUM(F16:F25*0.15)</f>
        <v>1312.3449999999998</v>
      </c>
      <c r="G26" s="277">
        <f t="array" ref="G26">SUM(G16:G25*0.15)</f>
        <v>2879.8603000000003</v>
      </c>
      <c r="H26" s="277">
        <f t="array" ref="H26">SUM(H16:H25*0.15)</f>
        <v>2194.9602999999997</v>
      </c>
      <c r="I26" s="277">
        <f t="array" ref="I26">SUM(I16:I25*0.15)</f>
        <v>3254.8603000000003</v>
      </c>
      <c r="J26" s="277">
        <f t="array" ref="J26">SUM(J16:J25*0.15)</f>
        <v>2044.9603</v>
      </c>
      <c r="K26" s="277">
        <f t="array" ref="K26">SUM(K16:K25*0.15)</f>
        <v>2879.8603000000003</v>
      </c>
      <c r="L26" s="277">
        <f t="array" ref="L26">SUM(L16:L25*0.15)</f>
        <v>2344.9602999999997</v>
      </c>
      <c r="M26" s="277">
        <f t="array" ref="M26">SUM(M16:M25*0.15)</f>
        <v>2879.8603000000003</v>
      </c>
      <c r="N26" s="277">
        <f t="array" ref="N26">SUM(N16:N25*0.15)</f>
        <v>2202.4602999999997</v>
      </c>
      <c r="O26" s="287">
        <f t="shared" si="1"/>
        <v>31714.334899999998</v>
      </c>
    </row>
    <row r="27" spans="1:15" ht="14.25" customHeight="1" x14ac:dyDescent="0.35">
      <c r="A27" s="33" t="s">
        <v>270</v>
      </c>
      <c r="B27" s="277">
        <f t="shared" ref="B27:N27" si="3">SUM(B16:B26)</f>
        <v>8857.8558333333331</v>
      </c>
      <c r="C27" s="277">
        <f t="shared" si="3"/>
        <v>37334.71166666667</v>
      </c>
      <c r="D27" s="277">
        <f t="shared" si="3"/>
        <v>11866.811666666666</v>
      </c>
      <c r="E27" s="277">
        <f t="shared" si="3"/>
        <v>16462.211666666666</v>
      </c>
      <c r="F27" s="277">
        <f t="shared" si="3"/>
        <v>10061.311666666666</v>
      </c>
      <c r="G27" s="277">
        <f t="shared" si="3"/>
        <v>22078.928966666666</v>
      </c>
      <c r="H27" s="277">
        <f t="shared" si="3"/>
        <v>16828.028966666665</v>
      </c>
      <c r="I27" s="277">
        <f t="shared" si="3"/>
        <v>24953.928966666666</v>
      </c>
      <c r="J27" s="277">
        <f t="shared" si="3"/>
        <v>15678.028966666667</v>
      </c>
      <c r="K27" s="277">
        <f t="shared" si="3"/>
        <v>22078.928966666666</v>
      </c>
      <c r="L27" s="277">
        <f t="shared" si="3"/>
        <v>17978.028966666665</v>
      </c>
      <c r="M27" s="277">
        <f t="shared" si="3"/>
        <v>22078.928966666666</v>
      </c>
      <c r="N27" s="277">
        <f t="shared" si="3"/>
        <v>16885.528966666665</v>
      </c>
      <c r="O27" s="288">
        <f>SUM(B27:N27)</f>
        <v>243143.23423333329</v>
      </c>
    </row>
    <row r="28" spans="1:15" ht="15" customHeight="1" x14ac:dyDescent="0.35">
      <c r="B28" s="277"/>
      <c r="C28" s="277"/>
      <c r="D28" s="277"/>
      <c r="E28" s="277"/>
      <c r="F28" s="277"/>
      <c r="G28" s="277"/>
      <c r="H28" s="277"/>
      <c r="I28" s="277"/>
      <c r="J28" s="277"/>
      <c r="K28" s="277"/>
      <c r="L28" s="277"/>
      <c r="M28" s="277"/>
      <c r="N28" s="277"/>
      <c r="O28" s="287"/>
    </row>
    <row r="29" spans="1:15" ht="15" customHeight="1" x14ac:dyDescent="0.35">
      <c r="A29" s="33" t="s">
        <v>271</v>
      </c>
      <c r="B29" s="277">
        <f t="shared" ref="B29:N29" si="4">B13-B27</f>
        <v>91142.144166666665</v>
      </c>
      <c r="C29" s="277">
        <f t="shared" si="4"/>
        <v>51665.28833333333</v>
      </c>
      <c r="D29" s="277">
        <f t="shared" si="4"/>
        <v>-11866.811666666666</v>
      </c>
      <c r="E29" s="277">
        <f t="shared" si="4"/>
        <v>-16462.211666666666</v>
      </c>
      <c r="F29" s="277">
        <f>F13-F27</f>
        <v>-10061.311666666666</v>
      </c>
      <c r="G29" s="277">
        <f t="shared" si="4"/>
        <v>166921.07103333334</v>
      </c>
      <c r="H29" s="277">
        <f t="shared" si="4"/>
        <v>-16828.028966666665</v>
      </c>
      <c r="I29" s="277">
        <f t="shared" si="4"/>
        <v>-24953.928966666666</v>
      </c>
      <c r="J29" s="277">
        <f t="shared" si="4"/>
        <v>-15678.028966666667</v>
      </c>
      <c r="K29" s="277">
        <f t="shared" si="4"/>
        <v>-22078.928966666666</v>
      </c>
      <c r="L29" s="277">
        <f t="shared" si="4"/>
        <v>-17978.028966666665</v>
      </c>
      <c r="M29" s="277">
        <f t="shared" si="4"/>
        <v>-22078.928966666666</v>
      </c>
      <c r="N29" s="277">
        <f t="shared" si="4"/>
        <v>-16885.528966666665</v>
      </c>
      <c r="O29" s="288">
        <f>SUM(C29:N29)</f>
        <v>43714.621600000035</v>
      </c>
    </row>
    <row r="30" spans="1:15" ht="14.25" customHeight="1" x14ac:dyDescent="0.35">
      <c r="A30" s="104" t="s">
        <v>272</v>
      </c>
      <c r="B30" s="277">
        <f>B29</f>
        <v>91142.144166666665</v>
      </c>
      <c r="C30" s="277">
        <f t="shared" ref="C30:N30" si="5">B30+C29</f>
        <v>142807.4325</v>
      </c>
      <c r="D30" s="277">
        <f t="shared" si="5"/>
        <v>130940.62083333333</v>
      </c>
      <c r="E30" s="277">
        <f t="shared" si="5"/>
        <v>114478.40916666666</v>
      </c>
      <c r="F30" s="277">
        <f t="shared" si="5"/>
        <v>104417.0975</v>
      </c>
      <c r="G30" s="277">
        <f t="shared" si="5"/>
        <v>271338.16853333334</v>
      </c>
      <c r="H30" s="277">
        <f t="shared" si="5"/>
        <v>254510.13956666668</v>
      </c>
      <c r="I30" s="277">
        <f t="shared" si="5"/>
        <v>229556.21060000002</v>
      </c>
      <c r="J30" s="277">
        <f t="shared" si="5"/>
        <v>213878.18163333336</v>
      </c>
      <c r="K30" s="277">
        <f t="shared" si="5"/>
        <v>191799.2526666667</v>
      </c>
      <c r="L30" s="277">
        <f t="shared" si="5"/>
        <v>173821.22370000003</v>
      </c>
      <c r="M30" s="277">
        <f t="shared" si="5"/>
        <v>151742.29473333337</v>
      </c>
      <c r="N30" s="277">
        <f t="shared" si="5"/>
        <v>134856.76576666671</v>
      </c>
      <c r="O30" s="287"/>
    </row>
    <row r="31" spans="1:15" ht="15" customHeight="1" x14ac:dyDescent="0.35">
      <c r="O31" s="286"/>
    </row>
    <row r="32" spans="1:15" ht="15" customHeight="1" x14ac:dyDescent="0.35">
      <c r="A32" s="106" t="s">
        <v>273</v>
      </c>
      <c r="O32" s="286"/>
    </row>
    <row r="33" spans="1:61" ht="15" customHeight="1" x14ac:dyDescent="0.35">
      <c r="A33" t="s">
        <v>274</v>
      </c>
      <c r="B33">
        <v>0</v>
      </c>
      <c r="C33">
        <v>0</v>
      </c>
      <c r="D33">
        <v>0</v>
      </c>
      <c r="E33">
        <v>0</v>
      </c>
      <c r="F33">
        <v>0</v>
      </c>
      <c r="G33">
        <v>0</v>
      </c>
      <c r="H33">
        <v>0</v>
      </c>
      <c r="I33">
        <v>0</v>
      </c>
      <c r="J33">
        <v>0</v>
      </c>
      <c r="K33">
        <v>0</v>
      </c>
      <c r="L33">
        <v>0</v>
      </c>
      <c r="M33">
        <v>0</v>
      </c>
      <c r="N33">
        <v>0</v>
      </c>
      <c r="O33" s="286">
        <f>SUM(B33:N33)</f>
        <v>0</v>
      </c>
    </row>
    <row r="34" spans="1:61" ht="15" customHeight="1" x14ac:dyDescent="0.35">
      <c r="A34" t="s">
        <v>275</v>
      </c>
      <c r="B34">
        <v>0</v>
      </c>
      <c r="C34">
        <v>0</v>
      </c>
      <c r="D34">
        <v>0</v>
      </c>
      <c r="E34">
        <v>0</v>
      </c>
      <c r="F34">
        <v>0</v>
      </c>
      <c r="G34">
        <v>0</v>
      </c>
      <c r="H34">
        <v>0</v>
      </c>
      <c r="I34">
        <v>0</v>
      </c>
      <c r="J34">
        <v>0</v>
      </c>
      <c r="K34">
        <v>0</v>
      </c>
      <c r="L34">
        <v>0</v>
      </c>
      <c r="M34">
        <v>0</v>
      </c>
      <c r="N34">
        <v>0</v>
      </c>
      <c r="O34" s="286">
        <f>SUM(B34:N34)</f>
        <v>0</v>
      </c>
    </row>
    <row r="35" spans="1:61" ht="14.25" customHeight="1" x14ac:dyDescent="0.35">
      <c r="A35" t="s">
        <v>276</v>
      </c>
      <c r="B35">
        <v>0</v>
      </c>
      <c r="C35">
        <f t="shared" ref="C35:E35" si="6">(C33+B35)-C34</f>
        <v>0</v>
      </c>
      <c r="D35">
        <f t="shared" si="6"/>
        <v>0</v>
      </c>
      <c r="E35">
        <f t="shared" si="6"/>
        <v>0</v>
      </c>
      <c r="F35">
        <f t="shared" ref="F35" si="7">(F33+E35)-F34</f>
        <v>0</v>
      </c>
      <c r="G35">
        <f t="shared" ref="G35" si="8">(G33+F35)-G34</f>
        <v>0</v>
      </c>
      <c r="H35">
        <f t="shared" ref="H35" si="9">(H33+G35)-H34</f>
        <v>0</v>
      </c>
      <c r="I35">
        <f t="shared" ref="I35" si="10">(I33+H35)-I34</f>
        <v>0</v>
      </c>
      <c r="J35">
        <f t="shared" ref="J35" si="11">(J33+I35)-J34</f>
        <v>0</v>
      </c>
      <c r="K35">
        <f t="shared" ref="K35" si="12">(K33+J35)-K34</f>
        <v>0</v>
      </c>
      <c r="L35">
        <f t="shared" ref="L35" si="13">(L33+K35)-L34</f>
        <v>0</v>
      </c>
      <c r="M35">
        <f t="shared" ref="M35" si="14">(M33+L35)-M34</f>
        <v>0</v>
      </c>
      <c r="N35">
        <f t="shared" ref="N35" si="15">(N33+M35)-N34</f>
        <v>0</v>
      </c>
      <c r="O35" s="286"/>
    </row>
    <row r="37" spans="1:61" ht="15" customHeight="1" x14ac:dyDescent="0.35">
      <c r="B37" s="451"/>
      <c r="C37" s="451"/>
      <c r="D37" s="451"/>
      <c r="E37" s="451"/>
      <c r="F37" s="451"/>
      <c r="G37" s="451"/>
      <c r="H37" s="451"/>
      <c r="I37" s="451"/>
      <c r="J37" s="451"/>
      <c r="K37" s="451"/>
      <c r="L37" s="451"/>
      <c r="M37" s="451"/>
      <c r="N37" s="451"/>
      <c r="O37" s="451"/>
      <c r="P37" s="451"/>
      <c r="Q37" s="451"/>
      <c r="R37" s="451"/>
      <c r="S37" s="451"/>
      <c r="T37" s="451"/>
      <c r="U37" s="451"/>
      <c r="V37" s="451"/>
      <c r="W37" s="451"/>
      <c r="X37" s="451"/>
      <c r="Y37" s="451"/>
      <c r="Z37" s="451"/>
      <c r="AA37" s="451"/>
      <c r="AB37" s="451"/>
      <c r="AC37" s="451"/>
      <c r="AD37" s="451"/>
      <c r="AE37" s="451"/>
      <c r="AF37" s="451"/>
      <c r="AG37" s="451"/>
      <c r="AH37" s="451"/>
      <c r="AI37" s="451"/>
      <c r="AJ37" s="451"/>
      <c r="AK37" s="451"/>
      <c r="AL37" s="451"/>
      <c r="AM37" s="451"/>
      <c r="AN37" s="451"/>
      <c r="AO37" s="451"/>
      <c r="AP37" s="451"/>
      <c r="AQ37" s="451"/>
      <c r="AR37" s="451"/>
      <c r="AS37" s="451"/>
      <c r="AT37" s="451"/>
      <c r="AU37" s="451"/>
      <c r="AV37" s="451"/>
      <c r="AW37" s="451"/>
      <c r="AX37" s="451"/>
      <c r="AY37" s="451"/>
      <c r="AZ37" s="451"/>
      <c r="BA37" s="451"/>
      <c r="BB37" s="451"/>
      <c r="BC37" s="451"/>
      <c r="BD37" s="451"/>
      <c r="BE37" s="451"/>
      <c r="BF37" s="451"/>
      <c r="BG37" s="451"/>
      <c r="BH37" s="451"/>
      <c r="BI37" s="451"/>
    </row>
    <row r="38" spans="1:61" ht="15" customHeight="1" x14ac:dyDescent="0.35">
      <c r="A38" s="86" t="s">
        <v>277</v>
      </c>
      <c r="B38" s="289" t="s">
        <v>277</v>
      </c>
      <c r="C38" s="107"/>
      <c r="D38" s="107"/>
      <c r="E38" s="107"/>
      <c r="F38" s="107"/>
      <c r="G38" s="107"/>
      <c r="H38" s="107"/>
      <c r="I38" s="107"/>
      <c r="J38" s="107"/>
      <c r="K38" s="107"/>
      <c r="L38" s="107"/>
      <c r="M38" s="108"/>
      <c r="N38" s="289" t="s">
        <v>278</v>
      </c>
      <c r="O38" s="107"/>
      <c r="P38" s="107"/>
      <c r="Q38" s="107"/>
      <c r="R38" s="107"/>
      <c r="S38" s="107"/>
      <c r="T38" s="107"/>
      <c r="U38" s="107"/>
      <c r="V38" s="107"/>
      <c r="W38" s="107"/>
      <c r="X38" s="107"/>
      <c r="Y38" s="108"/>
      <c r="Z38" s="289" t="s">
        <v>279</v>
      </c>
      <c r="AA38" s="107"/>
      <c r="AB38" s="107"/>
      <c r="AC38" s="107"/>
      <c r="AD38" s="107"/>
      <c r="AE38" s="107"/>
      <c r="AF38" s="107"/>
      <c r="AG38" s="107"/>
      <c r="AH38" s="107"/>
      <c r="AI38" s="107"/>
      <c r="AJ38" s="107"/>
      <c r="AK38" s="108"/>
      <c r="AL38" s="289" t="s">
        <v>280</v>
      </c>
      <c r="AM38" s="107"/>
      <c r="AN38" s="107"/>
      <c r="AO38" s="107"/>
      <c r="AP38" s="107"/>
      <c r="AQ38" s="107"/>
      <c r="AR38" s="107"/>
      <c r="AS38" s="107"/>
      <c r="AT38" s="107"/>
      <c r="AU38" s="107"/>
      <c r="AV38" s="107"/>
      <c r="AW38" s="108"/>
      <c r="AX38" s="289" t="s">
        <v>281</v>
      </c>
      <c r="AY38" s="107"/>
      <c r="AZ38" s="107"/>
      <c r="BA38" s="107"/>
      <c r="BB38" s="107"/>
      <c r="BC38" s="107"/>
      <c r="BD38" s="107"/>
      <c r="BE38" s="107"/>
      <c r="BF38" s="107"/>
      <c r="BG38" s="107"/>
      <c r="BH38" s="107"/>
      <c r="BI38" s="108"/>
    </row>
    <row r="39" spans="1:61" ht="15" customHeight="1" x14ac:dyDescent="0.35">
      <c r="B39" s="109" t="s">
        <v>248</v>
      </c>
      <c r="C39" s="101" t="s">
        <v>249</v>
      </c>
      <c r="D39" s="101" t="s">
        <v>250</v>
      </c>
      <c r="E39" s="101" t="s">
        <v>251</v>
      </c>
      <c r="F39" s="101" t="s">
        <v>55</v>
      </c>
      <c r="G39" s="101" t="s">
        <v>56</v>
      </c>
      <c r="H39" s="101" t="s">
        <v>252</v>
      </c>
      <c r="I39" s="101" t="s">
        <v>58</v>
      </c>
      <c r="J39" s="101" t="s">
        <v>253</v>
      </c>
      <c r="K39" s="101" t="s">
        <v>254</v>
      </c>
      <c r="L39" s="101" t="s">
        <v>255</v>
      </c>
      <c r="M39" s="110" t="s">
        <v>256</v>
      </c>
      <c r="N39" s="109" t="s">
        <v>248</v>
      </c>
      <c r="O39" s="101" t="s">
        <v>249</v>
      </c>
      <c r="P39" s="101" t="s">
        <v>250</v>
      </c>
      <c r="Q39" s="101" t="s">
        <v>251</v>
      </c>
      <c r="R39" s="101" t="s">
        <v>55</v>
      </c>
      <c r="S39" s="101" t="s">
        <v>56</v>
      </c>
      <c r="T39" s="101" t="s">
        <v>252</v>
      </c>
      <c r="U39" s="101" t="s">
        <v>58</v>
      </c>
      <c r="V39" s="101" t="s">
        <v>253</v>
      </c>
      <c r="W39" s="101" t="s">
        <v>254</v>
      </c>
      <c r="X39" s="101" t="s">
        <v>255</v>
      </c>
      <c r="Y39" s="110" t="s">
        <v>256</v>
      </c>
      <c r="Z39" s="109" t="s">
        <v>248</v>
      </c>
      <c r="AA39" s="101" t="s">
        <v>249</v>
      </c>
      <c r="AB39" s="101" t="s">
        <v>250</v>
      </c>
      <c r="AC39" s="101" t="s">
        <v>251</v>
      </c>
      <c r="AD39" s="101" t="s">
        <v>55</v>
      </c>
      <c r="AE39" s="101" t="s">
        <v>56</v>
      </c>
      <c r="AF39" s="101" t="s">
        <v>252</v>
      </c>
      <c r="AG39" s="101" t="s">
        <v>58</v>
      </c>
      <c r="AH39" s="101" t="s">
        <v>253</v>
      </c>
      <c r="AI39" s="101" t="s">
        <v>254</v>
      </c>
      <c r="AJ39" s="101" t="s">
        <v>255</v>
      </c>
      <c r="AK39" s="110" t="s">
        <v>256</v>
      </c>
      <c r="AL39" s="109" t="s">
        <v>248</v>
      </c>
      <c r="AM39" s="101" t="s">
        <v>249</v>
      </c>
      <c r="AN39" s="101" t="s">
        <v>250</v>
      </c>
      <c r="AO39" s="101" t="s">
        <v>251</v>
      </c>
      <c r="AP39" s="101" t="s">
        <v>55</v>
      </c>
      <c r="AQ39" s="101" t="s">
        <v>56</v>
      </c>
      <c r="AR39" s="101" t="s">
        <v>252</v>
      </c>
      <c r="AS39" s="101" t="s">
        <v>58</v>
      </c>
      <c r="AT39" s="101" t="s">
        <v>253</v>
      </c>
      <c r="AU39" s="101" t="s">
        <v>254</v>
      </c>
      <c r="AV39" s="101" t="s">
        <v>255</v>
      </c>
      <c r="AW39" s="110" t="s">
        <v>256</v>
      </c>
      <c r="AX39" s="109" t="s">
        <v>248</v>
      </c>
      <c r="AY39" s="101" t="s">
        <v>249</v>
      </c>
      <c r="AZ39" s="101" t="s">
        <v>250</v>
      </c>
      <c r="BA39" s="101" t="s">
        <v>251</v>
      </c>
      <c r="BB39" s="101" t="s">
        <v>55</v>
      </c>
      <c r="BC39" s="101" t="s">
        <v>56</v>
      </c>
      <c r="BD39" s="101" t="s">
        <v>252</v>
      </c>
      <c r="BE39" s="101" t="s">
        <v>58</v>
      </c>
      <c r="BF39" s="101" t="s">
        <v>253</v>
      </c>
      <c r="BG39" s="101" t="s">
        <v>254</v>
      </c>
      <c r="BH39" s="101" t="s">
        <v>255</v>
      </c>
      <c r="BI39" s="110" t="s">
        <v>256</v>
      </c>
    </row>
    <row r="40" spans="1:61" ht="15" customHeight="1" x14ac:dyDescent="0.35">
      <c r="A40" s="102" t="s">
        <v>257</v>
      </c>
      <c r="B40" s="111"/>
      <c r="M40" s="112"/>
      <c r="N40" s="111"/>
      <c r="Y40" s="112"/>
      <c r="Z40" s="111"/>
      <c r="AK40" s="112"/>
      <c r="AL40" s="111"/>
      <c r="AW40" s="112"/>
      <c r="AX40" s="111"/>
      <c r="BI40" s="112"/>
    </row>
    <row r="41" spans="1:61" ht="15" customHeight="1" x14ac:dyDescent="0.35">
      <c r="A41" t="s">
        <v>466</v>
      </c>
      <c r="B41" s="111">
        <v>0</v>
      </c>
      <c r="C41" s="47">
        <v>0</v>
      </c>
      <c r="D41" s="47">
        <v>50000</v>
      </c>
      <c r="E41" s="47">
        <v>0</v>
      </c>
      <c r="F41" s="47">
        <v>0</v>
      </c>
      <c r="G41" s="47">
        <v>0</v>
      </c>
      <c r="H41" s="47">
        <v>0</v>
      </c>
      <c r="I41" s="47">
        <v>0</v>
      </c>
      <c r="J41" s="47">
        <v>0</v>
      </c>
      <c r="K41" s="47">
        <v>0</v>
      </c>
      <c r="L41" s="47">
        <v>0</v>
      </c>
      <c r="M41" s="113">
        <v>0</v>
      </c>
      <c r="N41" s="111"/>
      <c r="O41" s="47"/>
      <c r="P41" s="47"/>
      <c r="Q41" s="47"/>
      <c r="R41" s="47"/>
      <c r="S41" s="47"/>
      <c r="T41" s="47"/>
      <c r="U41" s="47"/>
      <c r="V41" s="47"/>
      <c r="W41" s="47"/>
      <c r="X41" s="47"/>
      <c r="Y41" s="113"/>
      <c r="Z41" s="111"/>
      <c r="AA41" s="47"/>
      <c r="AB41" s="47"/>
      <c r="AC41" s="47"/>
      <c r="AD41" s="47"/>
      <c r="AE41" s="47"/>
      <c r="AF41" s="47"/>
      <c r="AG41" s="47"/>
      <c r="AH41" s="47"/>
      <c r="AI41" s="47"/>
      <c r="AJ41" s="47"/>
      <c r="AK41" s="113"/>
      <c r="AL41" s="111"/>
      <c r="AM41" s="47"/>
      <c r="AN41" s="47"/>
      <c r="AO41" s="47"/>
      <c r="AP41" s="47"/>
      <c r="AQ41" s="47"/>
      <c r="AR41" s="47"/>
      <c r="AS41" s="47"/>
      <c r="AT41" s="47"/>
      <c r="AU41" s="47"/>
      <c r="AV41" s="47"/>
      <c r="AW41" s="113"/>
      <c r="AX41" s="111"/>
      <c r="AY41" s="47"/>
      <c r="AZ41" s="47"/>
      <c r="BA41" s="47"/>
      <c r="BB41" s="47"/>
      <c r="BC41" s="47"/>
      <c r="BD41" s="47"/>
      <c r="BE41" s="47"/>
      <c r="BF41" s="47"/>
      <c r="BG41" s="47"/>
      <c r="BH41" s="47"/>
      <c r="BI41" s="113"/>
    </row>
    <row r="42" spans="1:61" ht="15" customHeight="1" x14ac:dyDescent="0.35">
      <c r="A42" t="s">
        <v>259</v>
      </c>
      <c r="B42" s="114">
        <f>B63*'Marges Produits'!$C$49</f>
        <v>0</v>
      </c>
      <c r="C42" s="47">
        <f>C63*'Marges Produits'!$C$49</f>
        <v>0</v>
      </c>
      <c r="D42" s="47">
        <f>D63*'Marges Produits'!$C$49</f>
        <v>0</v>
      </c>
      <c r="E42" s="47">
        <f>E63*'Marges Produits'!$C$49</f>
        <v>12860.416666666668</v>
      </c>
      <c r="F42" s="47">
        <f>F63*'Marges Produits'!$C$49</f>
        <v>36009.166666666672</v>
      </c>
      <c r="G42" s="47">
        <f>G63*'Marges Produits'!$C$49</f>
        <v>38581.25</v>
      </c>
      <c r="H42" s="47">
        <f>H63*'Marges Produits'!$C$49</f>
        <v>51441.666666666672</v>
      </c>
      <c r="I42" s="47">
        <f>I63*'Marges Produits'!$C$49</f>
        <v>64302.083333333336</v>
      </c>
      <c r="J42" s="47">
        <f>J63*'Marges Produits'!$C$49</f>
        <v>64302.083333333336</v>
      </c>
      <c r="K42" s="47">
        <f>K63*'Marges Produits'!$C$49</f>
        <v>51441.666666666672</v>
      </c>
      <c r="L42" s="47">
        <f>L63*'Marges Produits'!$C$49</f>
        <v>25720.833333333336</v>
      </c>
      <c r="M42" s="113">
        <f>M63*'Marges Produits'!$C$49</f>
        <v>12860.416666666668</v>
      </c>
      <c r="N42" s="114">
        <f>N63*'Marges Produits'!$C$49</f>
        <v>25720.833333333336</v>
      </c>
      <c r="O42" s="47">
        <f>O63*'Marges Produits'!$C$49</f>
        <v>51441.666666666672</v>
      </c>
      <c r="P42" s="47">
        <f>P63*'Marges Produits'!$C$49</f>
        <v>64302.083333333336</v>
      </c>
      <c r="Q42" s="47">
        <f>Q63*'Marges Produits'!$C$49</f>
        <v>64302.083333333336</v>
      </c>
      <c r="R42" s="47">
        <f>R63*'Marges Produits'!$C$49</f>
        <v>64302.083333333336</v>
      </c>
      <c r="S42" s="47">
        <f>S63*'Marges Produits'!$C$49</f>
        <v>64302.083333333336</v>
      </c>
      <c r="T42" s="47">
        <f>T63*'Marges Produits'!$C$49</f>
        <v>64302.083333333336</v>
      </c>
      <c r="U42" s="47">
        <f>U63*'Marges Produits'!$C$49</f>
        <v>64302.083333333336</v>
      </c>
      <c r="V42" s="47">
        <f>V63*'Marges Produits'!$C$49</f>
        <v>64302.083333333336</v>
      </c>
      <c r="W42" s="47">
        <f>W63*'Marges Produits'!$C$49</f>
        <v>64302.083333333336</v>
      </c>
      <c r="X42" s="47">
        <f>X63*'Marges Produits'!$C$49</f>
        <v>18004.583333333336</v>
      </c>
      <c r="Y42" s="113">
        <f>Y63*'Marges Produits'!$C$49</f>
        <v>12860.416666666668</v>
      </c>
      <c r="Z42" s="114">
        <f>Z63*'Marges Produits'!$C$49</f>
        <v>25720.833333333336</v>
      </c>
      <c r="AA42" s="47">
        <f>AA63*'Marges Produits'!$C$49</f>
        <v>51441.666666666672</v>
      </c>
      <c r="AB42" s="47">
        <f>AB63*'Marges Produits'!$C$49</f>
        <v>64302.083333333336</v>
      </c>
      <c r="AC42" s="47">
        <f>AC63*'Marges Produits'!$C$49</f>
        <v>64302.083333333336</v>
      </c>
      <c r="AD42" s="47">
        <f>AD63*'Marges Produits'!$C$49</f>
        <v>64302.083333333336</v>
      </c>
      <c r="AE42" s="47">
        <f>AE63*'Marges Produits'!$C$49</f>
        <v>64302.083333333336</v>
      </c>
      <c r="AF42" s="47">
        <f>AF63*'Marges Produits'!$C$49</f>
        <v>64302.083333333336</v>
      </c>
      <c r="AG42" s="47">
        <f>AG63*'Marges Produits'!$C$49</f>
        <v>64302.083333333336</v>
      </c>
      <c r="AH42" s="47">
        <f>AH63*'Marges Produits'!$C$49</f>
        <v>64302.083333333336</v>
      </c>
      <c r="AI42" s="47">
        <f>AI63*'Marges Produits'!$C$49</f>
        <v>64302.083333333336</v>
      </c>
      <c r="AJ42" s="47">
        <f>AJ63*'Marges Produits'!$C$49</f>
        <v>18004.583333333336</v>
      </c>
      <c r="AK42" s="113">
        <f>AK63*'Marges Produits'!$C$49</f>
        <v>12860.416666666668</v>
      </c>
      <c r="AL42" s="114">
        <f>AL63*'Marges Produits'!$C$49</f>
        <v>25720.833333333336</v>
      </c>
      <c r="AM42" s="47">
        <f>AM63*'Marges Produits'!$C$49</f>
        <v>38581.25</v>
      </c>
      <c r="AN42" s="47">
        <f>AN63*'Marges Produits'!$C$49</f>
        <v>51441.666666666672</v>
      </c>
      <c r="AO42" s="47">
        <f>AO63*'Marges Produits'!$C$49</f>
        <v>51441.666666666672</v>
      </c>
      <c r="AP42" s="47">
        <f>AP63*'Marges Produits'!$C$49</f>
        <v>51441.666666666672</v>
      </c>
      <c r="AQ42" s="47">
        <f>AQ63*'Marges Produits'!$C$49</f>
        <v>51441.666666666672</v>
      </c>
      <c r="AR42" s="47">
        <f>AR63*'Marges Produits'!$C$49</f>
        <v>51441.666666666672</v>
      </c>
      <c r="AS42" s="47">
        <f>AS63*'Marges Produits'!$C$49</f>
        <v>51441.666666666672</v>
      </c>
      <c r="AT42" s="47">
        <f>AT63*'Marges Produits'!$C$49</f>
        <v>38581.25</v>
      </c>
      <c r="AU42" s="47">
        <f>AU63*'Marges Produits'!$C$49</f>
        <v>38581.25</v>
      </c>
      <c r="AV42" s="47">
        <f>AV63*'Marges Produits'!$C$49</f>
        <v>18004.583333333336</v>
      </c>
      <c r="AW42" s="113">
        <f>AW63*'Marges Produits'!$C$49</f>
        <v>12860.416666666668</v>
      </c>
      <c r="AX42" s="114">
        <f>AX63*(('Marges Produits'!$C$49)*1.05)</f>
        <v>27006.875000000004</v>
      </c>
      <c r="AY42" s="114">
        <f>AY63*(('Marges Produits'!$C$49)*1.05)</f>
        <v>40510.312500000007</v>
      </c>
      <c r="AZ42" s="114">
        <f>AZ63*(('Marges Produits'!$C$49)*1.05)</f>
        <v>54013.750000000007</v>
      </c>
      <c r="BA42" s="114">
        <f>BA63*(('Marges Produits'!$C$49)*1.05)</f>
        <v>54013.750000000007</v>
      </c>
      <c r="BB42" s="114">
        <f>BB63*(('Marges Produits'!$C$49)*1.05)</f>
        <v>54013.750000000007</v>
      </c>
      <c r="BC42" s="114">
        <f>BC63*(('Marges Produits'!$C$49)*1.05)</f>
        <v>54013.750000000007</v>
      </c>
      <c r="BD42" s="114">
        <f>BD63*(('Marges Produits'!$C$49)*1.05)</f>
        <v>54013.750000000007</v>
      </c>
      <c r="BE42" s="114">
        <f>BE63*(('Marges Produits'!$C$49)*1.05)</f>
        <v>54013.750000000007</v>
      </c>
      <c r="BF42" s="114">
        <f>BF63*(('Marges Produits'!$C$49)*1.05)</f>
        <v>40510.312500000007</v>
      </c>
      <c r="BG42" s="114">
        <f>BG63*(('Marges Produits'!$C$49)*1.05)</f>
        <v>40510.312500000007</v>
      </c>
      <c r="BH42" s="114">
        <f>BH63*(('Marges Produits'!$C$49)*1.05)</f>
        <v>18904.812500000004</v>
      </c>
      <c r="BI42" s="114">
        <f>BI63*(('Marges Produits'!$C$49)*1.05)</f>
        <v>13503.437500000002</v>
      </c>
    </row>
    <row r="43" spans="1:61" ht="14.25" customHeight="1" x14ac:dyDescent="0.35">
      <c r="A43" s="33" t="s">
        <v>260</v>
      </c>
      <c r="B43" s="114">
        <f t="shared" ref="B43:AG43" si="16">SUM(B41:B42)</f>
        <v>0</v>
      </c>
      <c r="C43" s="47">
        <f t="shared" si="16"/>
        <v>0</v>
      </c>
      <c r="D43" s="47">
        <f t="shared" si="16"/>
        <v>50000</v>
      </c>
      <c r="E43" s="47">
        <f t="shared" si="16"/>
        <v>12860.416666666668</v>
      </c>
      <c r="F43" s="47">
        <f t="shared" si="16"/>
        <v>36009.166666666672</v>
      </c>
      <c r="G43" s="47">
        <f t="shared" si="16"/>
        <v>38581.25</v>
      </c>
      <c r="H43" s="47">
        <f t="shared" si="16"/>
        <v>51441.666666666672</v>
      </c>
      <c r="I43" s="47">
        <f t="shared" si="16"/>
        <v>64302.083333333336</v>
      </c>
      <c r="J43" s="47">
        <f t="shared" si="16"/>
        <v>64302.083333333336</v>
      </c>
      <c r="K43" s="47">
        <f t="shared" si="16"/>
        <v>51441.666666666672</v>
      </c>
      <c r="L43" s="47">
        <f t="shared" si="16"/>
        <v>25720.833333333336</v>
      </c>
      <c r="M43" s="113">
        <f t="shared" si="16"/>
        <v>12860.416666666668</v>
      </c>
      <c r="N43" s="114">
        <f t="shared" si="16"/>
        <v>25720.833333333336</v>
      </c>
      <c r="O43" s="47">
        <f t="shared" si="16"/>
        <v>51441.666666666672</v>
      </c>
      <c r="P43" s="47">
        <f t="shared" si="16"/>
        <v>64302.083333333336</v>
      </c>
      <c r="Q43" s="47">
        <f t="shared" si="16"/>
        <v>64302.083333333336</v>
      </c>
      <c r="R43" s="47">
        <f t="shared" si="16"/>
        <v>64302.083333333336</v>
      </c>
      <c r="S43" s="47">
        <f t="shared" si="16"/>
        <v>64302.083333333336</v>
      </c>
      <c r="T43" s="47">
        <f t="shared" si="16"/>
        <v>64302.083333333336</v>
      </c>
      <c r="U43" s="47">
        <f t="shared" si="16"/>
        <v>64302.083333333336</v>
      </c>
      <c r="V43" s="47">
        <f t="shared" si="16"/>
        <v>64302.083333333336</v>
      </c>
      <c r="W43" s="47">
        <f t="shared" si="16"/>
        <v>64302.083333333336</v>
      </c>
      <c r="X43" s="47">
        <f t="shared" si="16"/>
        <v>18004.583333333336</v>
      </c>
      <c r="Y43" s="113">
        <f t="shared" si="16"/>
        <v>12860.416666666668</v>
      </c>
      <c r="Z43" s="114">
        <f t="shared" si="16"/>
        <v>25720.833333333336</v>
      </c>
      <c r="AA43" s="47">
        <f t="shared" si="16"/>
        <v>51441.666666666672</v>
      </c>
      <c r="AB43" s="47">
        <f t="shared" si="16"/>
        <v>64302.083333333336</v>
      </c>
      <c r="AC43" s="47">
        <f t="shared" si="16"/>
        <v>64302.083333333336</v>
      </c>
      <c r="AD43" s="47">
        <f t="shared" si="16"/>
        <v>64302.083333333336</v>
      </c>
      <c r="AE43" s="47">
        <f t="shared" si="16"/>
        <v>64302.083333333336</v>
      </c>
      <c r="AF43" s="47">
        <f t="shared" si="16"/>
        <v>64302.083333333336</v>
      </c>
      <c r="AG43" s="47">
        <f t="shared" si="16"/>
        <v>64302.083333333336</v>
      </c>
      <c r="AH43" s="47">
        <f t="shared" ref="AH43:BI43" si="17">SUM(AH41:AH42)</f>
        <v>64302.083333333336</v>
      </c>
      <c r="AI43" s="47">
        <f t="shared" si="17"/>
        <v>64302.083333333336</v>
      </c>
      <c r="AJ43" s="47">
        <f t="shared" si="17"/>
        <v>18004.583333333336</v>
      </c>
      <c r="AK43" s="113">
        <f t="shared" si="17"/>
        <v>12860.416666666668</v>
      </c>
      <c r="AL43" s="114">
        <f t="shared" si="17"/>
        <v>25720.833333333336</v>
      </c>
      <c r="AM43" s="47">
        <f t="shared" si="17"/>
        <v>38581.25</v>
      </c>
      <c r="AN43" s="47">
        <f t="shared" si="17"/>
        <v>51441.666666666672</v>
      </c>
      <c r="AO43" s="47">
        <f t="shared" si="17"/>
        <v>51441.666666666672</v>
      </c>
      <c r="AP43" s="47">
        <f t="shared" si="17"/>
        <v>51441.666666666672</v>
      </c>
      <c r="AQ43" s="47">
        <f t="shared" si="17"/>
        <v>51441.666666666672</v>
      </c>
      <c r="AR43" s="47">
        <f t="shared" si="17"/>
        <v>51441.666666666672</v>
      </c>
      <c r="AS43" s="47">
        <f t="shared" si="17"/>
        <v>51441.666666666672</v>
      </c>
      <c r="AT43" s="47">
        <f t="shared" si="17"/>
        <v>38581.25</v>
      </c>
      <c r="AU43" s="47">
        <f t="shared" si="17"/>
        <v>38581.25</v>
      </c>
      <c r="AV43" s="47">
        <f t="shared" si="17"/>
        <v>18004.583333333336</v>
      </c>
      <c r="AW43" s="113">
        <f t="shared" si="17"/>
        <v>12860.416666666668</v>
      </c>
      <c r="AX43" s="114">
        <f t="shared" si="17"/>
        <v>27006.875000000004</v>
      </c>
      <c r="AY43" s="47">
        <f t="shared" si="17"/>
        <v>40510.312500000007</v>
      </c>
      <c r="AZ43" s="47">
        <f t="shared" si="17"/>
        <v>54013.750000000007</v>
      </c>
      <c r="BA43" s="47">
        <f t="shared" si="17"/>
        <v>54013.750000000007</v>
      </c>
      <c r="BB43" s="47">
        <f t="shared" si="17"/>
        <v>54013.750000000007</v>
      </c>
      <c r="BC43" s="47">
        <f t="shared" si="17"/>
        <v>54013.750000000007</v>
      </c>
      <c r="BD43" s="47">
        <f t="shared" si="17"/>
        <v>54013.750000000007</v>
      </c>
      <c r="BE43" s="47">
        <f t="shared" si="17"/>
        <v>54013.750000000007</v>
      </c>
      <c r="BF43" s="47">
        <f t="shared" si="17"/>
        <v>40510.312500000007</v>
      </c>
      <c r="BG43" s="47">
        <f t="shared" si="17"/>
        <v>40510.312500000007</v>
      </c>
      <c r="BH43" s="47">
        <f t="shared" si="17"/>
        <v>18904.812500000004</v>
      </c>
      <c r="BI43" s="113">
        <f t="shared" si="17"/>
        <v>13503.437500000002</v>
      </c>
    </row>
    <row r="44" spans="1:61" ht="15" customHeight="1" x14ac:dyDescent="0.35">
      <c r="B44" s="111"/>
      <c r="M44" s="112"/>
      <c r="N44" s="111"/>
      <c r="Y44" s="112"/>
      <c r="Z44" s="111"/>
      <c r="AK44" s="112"/>
      <c r="AL44" s="111"/>
      <c r="AW44" s="112"/>
      <c r="AX44" s="111"/>
      <c r="BI44" s="112"/>
    </row>
    <row r="45" spans="1:61" ht="15" customHeight="1" x14ac:dyDescent="0.35">
      <c r="A45" s="102" t="s">
        <v>261</v>
      </c>
      <c r="B45" s="111"/>
      <c r="M45" s="112"/>
      <c r="N45" s="111"/>
      <c r="Y45" s="112"/>
      <c r="Z45" s="111"/>
      <c r="AK45" s="112"/>
      <c r="AL45" s="111"/>
      <c r="AW45" s="112"/>
      <c r="AX45" s="111"/>
      <c r="BI45" s="112"/>
    </row>
    <row r="46" spans="1:61" ht="15" customHeight="1" x14ac:dyDescent="0.35">
      <c r="A46" t="s">
        <v>263</v>
      </c>
      <c r="B46" s="115">
        <f>'Charges Fixes Plume'!$C$34*2</f>
        <v>2517.1019999999999</v>
      </c>
      <c r="C46" s="103">
        <f>'Charges Fixes Plume'!$C$34*2</f>
        <v>2517.1019999999999</v>
      </c>
      <c r="D46" s="103">
        <f>'Charges Fixes Plume'!$C$34*2</f>
        <v>2517.1019999999999</v>
      </c>
      <c r="E46" s="103">
        <f>'Charges Fixes Plume'!$C$34*2</f>
        <v>2517.1019999999999</v>
      </c>
      <c r="F46" s="103">
        <f>'Charges Fixes Plume'!$C$34*2</f>
        <v>2517.1019999999999</v>
      </c>
      <c r="G46" s="103">
        <f>'Charges Fixes Plume'!$C$34*2</f>
        <v>2517.1019999999999</v>
      </c>
      <c r="H46" s="103">
        <f>'Charges Fixes Plume'!$C$34*2</f>
        <v>2517.1019999999999</v>
      </c>
      <c r="I46" s="103">
        <f>'Charges Fixes Plume'!$C$34*2</f>
        <v>2517.1019999999999</v>
      </c>
      <c r="J46" s="103">
        <f>'Charges Fixes Plume'!$C$34*2</f>
        <v>2517.1019999999999</v>
      </c>
      <c r="K46" s="103">
        <f>'Charges Fixes Plume'!$C$34*2</f>
        <v>2517.1019999999999</v>
      </c>
      <c r="L46" s="103">
        <f>'Charges Fixes Plume'!$C$34*2</f>
        <v>2517.1019999999999</v>
      </c>
      <c r="M46" s="116">
        <f>'Charges Fixes Plume'!$C$34*2</f>
        <v>2517.1019999999999</v>
      </c>
      <c r="N46" s="115">
        <f>'Charges Fixes Plume'!$C$34*2</f>
        <v>2517.1019999999999</v>
      </c>
      <c r="O46" s="103">
        <f>'Charges Fixes Plume'!$C$34*2</f>
        <v>2517.1019999999999</v>
      </c>
      <c r="P46" s="103">
        <f>'Charges Fixes Plume'!$C$34*2</f>
        <v>2517.1019999999999</v>
      </c>
      <c r="Q46" s="103">
        <f>'Charges Fixes Plume'!$C$34*2</f>
        <v>2517.1019999999999</v>
      </c>
      <c r="R46" s="103">
        <f>'Charges Fixes Plume'!$C$34*2</f>
        <v>2517.1019999999999</v>
      </c>
      <c r="S46" s="103">
        <f>'Charges Fixes Plume'!$C$34*2</f>
        <v>2517.1019999999999</v>
      </c>
      <c r="T46" s="103">
        <f>'Charges Fixes Plume'!$C$34*2</f>
        <v>2517.1019999999999</v>
      </c>
      <c r="U46" s="103">
        <f>'Charges Fixes Plume'!$C$34*2</f>
        <v>2517.1019999999999</v>
      </c>
      <c r="V46" s="103">
        <f>'Charges Fixes Plume'!$C$34*2</f>
        <v>2517.1019999999999</v>
      </c>
      <c r="W46" s="103">
        <f>'Charges Fixes Plume'!$C$34*2</f>
        <v>2517.1019999999999</v>
      </c>
      <c r="X46" s="103">
        <f>'Charges Fixes Plume'!$C$34*2</f>
        <v>2517.1019999999999</v>
      </c>
      <c r="Y46" s="116">
        <f>'Charges Fixes Plume'!$C$34*2</f>
        <v>2517.1019999999999</v>
      </c>
      <c r="Z46" s="115">
        <f>'Charges Fixes Plume'!$C$34*2</f>
        <v>2517.1019999999999</v>
      </c>
      <c r="AA46" s="103">
        <f>'Charges Fixes Plume'!$C$34*2</f>
        <v>2517.1019999999999</v>
      </c>
      <c r="AB46" s="103">
        <f>'Charges Fixes Plume'!$C$34*2</f>
        <v>2517.1019999999999</v>
      </c>
      <c r="AC46" s="103">
        <f>'Charges Fixes Plume'!$C$34*2</f>
        <v>2517.1019999999999</v>
      </c>
      <c r="AD46" s="103">
        <f>'Charges Fixes Plume'!$C$34*2</f>
        <v>2517.1019999999999</v>
      </c>
      <c r="AE46" s="103">
        <f>'Charges Fixes Plume'!$C$34*2</f>
        <v>2517.1019999999999</v>
      </c>
      <c r="AF46" s="103">
        <f>'Charges Fixes Plume'!$C$34*2</f>
        <v>2517.1019999999999</v>
      </c>
      <c r="AG46" s="103">
        <f>'Charges Fixes Plume'!$C$34*2</f>
        <v>2517.1019999999999</v>
      </c>
      <c r="AH46" s="103">
        <f>'Charges Fixes Plume'!$C$34*2</f>
        <v>2517.1019999999999</v>
      </c>
      <c r="AI46" s="103">
        <f>'Charges Fixes Plume'!$C$34*2</f>
        <v>2517.1019999999999</v>
      </c>
      <c r="AJ46" s="103">
        <f>'Charges Fixes Plume'!$C$34*2</f>
        <v>2517.1019999999999</v>
      </c>
      <c r="AK46" s="116">
        <f>'Charges Fixes Plume'!$C$34*2</f>
        <v>2517.1019999999999</v>
      </c>
      <c r="AL46" s="115">
        <f>'Charges Fixes Plume'!$C$34*2</f>
        <v>2517.1019999999999</v>
      </c>
      <c r="AM46" s="103">
        <f>'Charges Fixes Plume'!$C$34*2</f>
        <v>2517.1019999999999</v>
      </c>
      <c r="AN46" s="103">
        <f>'Charges Fixes Plume'!$C$34*2</f>
        <v>2517.1019999999999</v>
      </c>
      <c r="AO46" s="103">
        <f>'Charges Fixes Plume'!$C$34*2</f>
        <v>2517.1019999999999</v>
      </c>
      <c r="AP46" s="103">
        <f>'Charges Fixes Plume'!$C$34*2</f>
        <v>2517.1019999999999</v>
      </c>
      <c r="AQ46" s="103">
        <f>'Charges Fixes Plume'!$C$34*2</f>
        <v>2517.1019999999999</v>
      </c>
      <c r="AR46" s="103">
        <f>'Charges Fixes Plume'!$C$34*2</f>
        <v>2517.1019999999999</v>
      </c>
      <c r="AS46" s="103">
        <f>'Charges Fixes Plume'!$C$34*2</f>
        <v>2517.1019999999999</v>
      </c>
      <c r="AT46" s="103">
        <f>'Charges Fixes Plume'!$C$34*2</f>
        <v>2517.1019999999999</v>
      </c>
      <c r="AU46" s="103">
        <f>'Charges Fixes Plume'!$C$34*2</f>
        <v>2517.1019999999999</v>
      </c>
      <c r="AV46" s="103">
        <f>'Charges Fixes Plume'!$C$34*2</f>
        <v>2517.1019999999999</v>
      </c>
      <c r="AW46" s="116">
        <f>'Charges Fixes Plume'!$C$34*2</f>
        <v>2517.1019999999999</v>
      </c>
      <c r="AX46" s="115">
        <f>'Charges Fixes Plume'!$C$34*2</f>
        <v>2517.1019999999999</v>
      </c>
      <c r="AY46" s="103">
        <f>'Charges Fixes Plume'!$C$34*2</f>
        <v>2517.1019999999999</v>
      </c>
      <c r="AZ46" s="103">
        <f>'Charges Fixes Plume'!$C$34*2</f>
        <v>2517.1019999999999</v>
      </c>
      <c r="BA46" s="103">
        <f>'Charges Fixes Plume'!$C$34*2</f>
        <v>2517.1019999999999</v>
      </c>
      <c r="BB46" s="103">
        <f>'Charges Fixes Plume'!$C$34*2</f>
        <v>2517.1019999999999</v>
      </c>
      <c r="BC46" s="103">
        <f>'Charges Fixes Plume'!$C$34*2</f>
        <v>2517.1019999999999</v>
      </c>
      <c r="BD46" s="103">
        <f>'Charges Fixes Plume'!$C$34*2</f>
        <v>2517.1019999999999</v>
      </c>
      <c r="BE46" s="103">
        <f>'Charges Fixes Plume'!$C$34*2</f>
        <v>2517.1019999999999</v>
      </c>
      <c r="BF46" s="103">
        <f>'Charges Fixes Plume'!$C$34*2</f>
        <v>2517.1019999999999</v>
      </c>
      <c r="BG46" s="103">
        <f>'Charges Fixes Plume'!$C$34*2</f>
        <v>2517.1019999999999</v>
      </c>
      <c r="BH46" s="103">
        <f>'Charges Fixes Plume'!$C$34*2</f>
        <v>2517.1019999999999</v>
      </c>
      <c r="BI46" s="116">
        <f>'Charges Fixes Plume'!$C$34*2</f>
        <v>2517.1019999999999</v>
      </c>
    </row>
    <row r="47" spans="1:61" ht="15" customHeight="1" x14ac:dyDescent="0.35">
      <c r="A47" t="s">
        <v>105</v>
      </c>
      <c r="B47" s="115">
        <v>2500</v>
      </c>
      <c r="C47" s="103">
        <v>0</v>
      </c>
      <c r="D47" s="103">
        <v>0</v>
      </c>
      <c r="E47" s="103">
        <v>0</v>
      </c>
      <c r="F47" s="103">
        <v>0</v>
      </c>
      <c r="G47" s="103">
        <v>0</v>
      </c>
      <c r="H47" s="103">
        <v>2500</v>
      </c>
      <c r="I47" s="103">
        <v>0</v>
      </c>
      <c r="J47" s="103">
        <v>0</v>
      </c>
      <c r="K47" s="103">
        <v>0</v>
      </c>
      <c r="L47" s="103">
        <v>0</v>
      </c>
      <c r="M47" s="116">
        <v>0</v>
      </c>
      <c r="N47" s="115">
        <f>B47</f>
        <v>2500</v>
      </c>
      <c r="O47" s="115">
        <f t="shared" ref="O47:Z51" si="18">C47</f>
        <v>0</v>
      </c>
      <c r="P47" s="115">
        <f t="shared" si="18"/>
        <v>0</v>
      </c>
      <c r="Q47" s="115">
        <f t="shared" si="18"/>
        <v>0</v>
      </c>
      <c r="R47" s="115">
        <f t="shared" si="18"/>
        <v>0</v>
      </c>
      <c r="S47" s="115">
        <f t="shared" si="18"/>
        <v>0</v>
      </c>
      <c r="T47" s="115">
        <f t="shared" si="18"/>
        <v>2500</v>
      </c>
      <c r="U47" s="115">
        <f t="shared" si="18"/>
        <v>0</v>
      </c>
      <c r="V47" s="115">
        <f t="shared" si="18"/>
        <v>0</v>
      </c>
      <c r="W47" s="115">
        <f t="shared" si="18"/>
        <v>0</v>
      </c>
      <c r="X47" s="115">
        <f t="shared" si="18"/>
        <v>0</v>
      </c>
      <c r="Y47" s="115">
        <f t="shared" si="18"/>
        <v>0</v>
      </c>
      <c r="Z47" s="103">
        <f>N47</f>
        <v>2500</v>
      </c>
      <c r="AA47" s="103">
        <f t="shared" ref="AA47:AL51" si="19">O47</f>
        <v>0</v>
      </c>
      <c r="AB47" s="103">
        <f t="shared" si="19"/>
        <v>0</v>
      </c>
      <c r="AC47" s="103">
        <f t="shared" si="19"/>
        <v>0</v>
      </c>
      <c r="AD47" s="103">
        <f t="shared" si="19"/>
        <v>0</v>
      </c>
      <c r="AE47" s="103">
        <f t="shared" si="19"/>
        <v>0</v>
      </c>
      <c r="AF47" s="103">
        <f t="shared" si="19"/>
        <v>2500</v>
      </c>
      <c r="AG47" s="103">
        <f t="shared" si="19"/>
        <v>0</v>
      </c>
      <c r="AH47" s="103">
        <f t="shared" si="19"/>
        <v>0</v>
      </c>
      <c r="AI47" s="103">
        <f t="shared" si="19"/>
        <v>0</v>
      </c>
      <c r="AJ47" s="103">
        <f t="shared" si="19"/>
        <v>0</v>
      </c>
      <c r="AK47" s="103">
        <f t="shared" si="19"/>
        <v>0</v>
      </c>
      <c r="AL47" s="103">
        <f>Z47</f>
        <v>2500</v>
      </c>
      <c r="AM47" s="103">
        <f t="shared" ref="AM47:AX51" si="20">AA47</f>
        <v>0</v>
      </c>
      <c r="AN47" s="103">
        <f t="shared" si="20"/>
        <v>0</v>
      </c>
      <c r="AO47" s="103">
        <f t="shared" si="20"/>
        <v>0</v>
      </c>
      <c r="AP47" s="103">
        <f t="shared" si="20"/>
        <v>0</v>
      </c>
      <c r="AQ47" s="103">
        <f t="shared" si="20"/>
        <v>0</v>
      </c>
      <c r="AR47" s="103">
        <f t="shared" si="20"/>
        <v>2500</v>
      </c>
      <c r="AS47" s="103">
        <f t="shared" si="20"/>
        <v>0</v>
      </c>
      <c r="AT47" s="103">
        <f t="shared" si="20"/>
        <v>0</v>
      </c>
      <c r="AU47" s="103">
        <f t="shared" si="20"/>
        <v>0</v>
      </c>
      <c r="AV47" s="103">
        <f t="shared" si="20"/>
        <v>0</v>
      </c>
      <c r="AW47" s="103">
        <f t="shared" si="20"/>
        <v>0</v>
      </c>
      <c r="AX47" s="103">
        <f>AL47</f>
        <v>2500</v>
      </c>
      <c r="AY47" s="103">
        <f t="shared" ref="AY47:BI51" si="21">AM47</f>
        <v>0</v>
      </c>
      <c r="AZ47" s="103">
        <f t="shared" si="21"/>
        <v>0</v>
      </c>
      <c r="BA47" s="103">
        <f t="shared" si="21"/>
        <v>0</v>
      </c>
      <c r="BB47" s="103">
        <f t="shared" si="21"/>
        <v>0</v>
      </c>
      <c r="BC47" s="103">
        <f t="shared" si="21"/>
        <v>0</v>
      </c>
      <c r="BD47" s="103">
        <f t="shared" si="21"/>
        <v>2500</v>
      </c>
      <c r="BE47" s="103">
        <f t="shared" si="21"/>
        <v>0</v>
      </c>
      <c r="BF47" s="103">
        <f t="shared" si="21"/>
        <v>0</v>
      </c>
      <c r="BG47" s="103">
        <f t="shared" si="21"/>
        <v>0</v>
      </c>
      <c r="BH47" s="103">
        <f t="shared" si="21"/>
        <v>0</v>
      </c>
      <c r="BI47" s="103">
        <f t="shared" si="21"/>
        <v>0</v>
      </c>
    </row>
    <row r="48" spans="1:61" ht="15" customHeight="1" x14ac:dyDescent="0.35">
      <c r="A48" t="s">
        <v>21</v>
      </c>
      <c r="B48" s="114">
        <f>C19</f>
        <v>10907.666666666668</v>
      </c>
      <c r="C48" s="114">
        <f t="shared" ref="C48:M50" si="22">D19</f>
        <v>6341.666666666667</v>
      </c>
      <c r="D48" s="114">
        <f t="shared" si="22"/>
        <v>10907.666666666668</v>
      </c>
      <c r="E48" s="114">
        <f t="shared" si="22"/>
        <v>4341.666666666667</v>
      </c>
      <c r="F48" s="114">
        <f t="shared" si="22"/>
        <v>8907.6666666666679</v>
      </c>
      <c r="G48" s="114">
        <f t="shared" si="22"/>
        <v>4341.666666666667</v>
      </c>
      <c r="H48" s="114">
        <f t="shared" si="22"/>
        <v>7907.666666666667</v>
      </c>
      <c r="I48" s="114">
        <f t="shared" si="22"/>
        <v>3341.666666666667</v>
      </c>
      <c r="J48" s="114">
        <f t="shared" si="22"/>
        <v>8907.6666666666679</v>
      </c>
      <c r="K48" s="114">
        <f t="shared" si="22"/>
        <v>4341.666666666667</v>
      </c>
      <c r="L48" s="114">
        <f t="shared" si="22"/>
        <v>8907.6666666666679</v>
      </c>
      <c r="M48" s="114">
        <f t="shared" si="22"/>
        <v>4341.666666666667</v>
      </c>
      <c r="N48" s="278">
        <f t="shared" ref="N48:N50" si="23">B48</f>
        <v>10907.666666666668</v>
      </c>
      <c r="O48" s="278">
        <f t="shared" si="18"/>
        <v>6341.666666666667</v>
      </c>
      <c r="P48" s="278">
        <f t="shared" si="18"/>
        <v>10907.666666666668</v>
      </c>
      <c r="Q48" s="278">
        <f t="shared" si="18"/>
        <v>4341.666666666667</v>
      </c>
      <c r="R48" s="278">
        <f t="shared" si="18"/>
        <v>8907.6666666666679</v>
      </c>
      <c r="S48" s="278">
        <f t="shared" si="18"/>
        <v>4341.666666666667</v>
      </c>
      <c r="T48" s="278">
        <f t="shared" si="18"/>
        <v>7907.666666666667</v>
      </c>
      <c r="U48" s="278">
        <f t="shared" si="18"/>
        <v>3341.666666666667</v>
      </c>
      <c r="V48" s="278">
        <f t="shared" si="18"/>
        <v>8907.6666666666679</v>
      </c>
      <c r="W48" s="278">
        <f t="shared" si="18"/>
        <v>4341.666666666667</v>
      </c>
      <c r="X48" s="278">
        <f t="shared" si="18"/>
        <v>8907.6666666666679</v>
      </c>
      <c r="Y48" s="278">
        <f t="shared" si="18"/>
        <v>4341.666666666667</v>
      </c>
      <c r="Z48" s="278">
        <f t="shared" si="18"/>
        <v>10907.666666666668</v>
      </c>
      <c r="AA48" s="278">
        <f t="shared" si="19"/>
        <v>6341.666666666667</v>
      </c>
      <c r="AB48" s="278">
        <f t="shared" si="19"/>
        <v>10907.666666666668</v>
      </c>
      <c r="AC48" s="278">
        <f t="shared" si="19"/>
        <v>4341.666666666667</v>
      </c>
      <c r="AD48" s="278">
        <f t="shared" si="19"/>
        <v>8907.6666666666679</v>
      </c>
      <c r="AE48" s="278">
        <f t="shared" si="19"/>
        <v>4341.666666666667</v>
      </c>
      <c r="AF48" s="278">
        <f t="shared" si="19"/>
        <v>7907.666666666667</v>
      </c>
      <c r="AG48" s="278">
        <f t="shared" si="19"/>
        <v>3341.666666666667</v>
      </c>
      <c r="AH48" s="278">
        <f t="shared" si="19"/>
        <v>8907.6666666666679</v>
      </c>
      <c r="AI48" s="278">
        <f t="shared" si="19"/>
        <v>4341.666666666667</v>
      </c>
      <c r="AJ48" s="278">
        <f t="shared" si="19"/>
        <v>8907.6666666666679</v>
      </c>
      <c r="AK48" s="278">
        <f t="shared" si="19"/>
        <v>4341.666666666667</v>
      </c>
      <c r="AL48" s="278">
        <f t="shared" si="19"/>
        <v>10907.666666666668</v>
      </c>
      <c r="AM48" s="278">
        <f t="shared" si="20"/>
        <v>6341.666666666667</v>
      </c>
      <c r="AN48" s="278">
        <f t="shared" si="20"/>
        <v>10907.666666666668</v>
      </c>
      <c r="AO48" s="278">
        <f t="shared" si="20"/>
        <v>4341.666666666667</v>
      </c>
      <c r="AP48" s="278">
        <f t="shared" si="20"/>
        <v>8907.6666666666679</v>
      </c>
      <c r="AQ48" s="278">
        <f t="shared" si="20"/>
        <v>4341.666666666667</v>
      </c>
      <c r="AR48" s="278">
        <f t="shared" si="20"/>
        <v>7907.666666666667</v>
      </c>
      <c r="AS48" s="278">
        <f t="shared" si="20"/>
        <v>3341.666666666667</v>
      </c>
      <c r="AT48" s="278">
        <f t="shared" si="20"/>
        <v>8907.6666666666679</v>
      </c>
      <c r="AU48" s="278">
        <f t="shared" si="20"/>
        <v>4341.666666666667</v>
      </c>
      <c r="AV48" s="278">
        <f t="shared" si="20"/>
        <v>8907.6666666666679</v>
      </c>
      <c r="AW48" s="278">
        <f t="shared" si="20"/>
        <v>4341.666666666667</v>
      </c>
      <c r="AX48" s="278">
        <f t="shared" si="20"/>
        <v>10907.666666666668</v>
      </c>
      <c r="AY48" s="278">
        <f t="shared" si="21"/>
        <v>6341.666666666667</v>
      </c>
      <c r="AZ48" s="278">
        <f t="shared" si="21"/>
        <v>10907.666666666668</v>
      </c>
      <c r="BA48" s="278">
        <f t="shared" si="21"/>
        <v>4341.666666666667</v>
      </c>
      <c r="BB48" s="278">
        <f t="shared" si="21"/>
        <v>8907.6666666666679</v>
      </c>
      <c r="BC48" s="278">
        <f t="shared" si="21"/>
        <v>4341.666666666667</v>
      </c>
      <c r="BD48" s="278">
        <f t="shared" si="21"/>
        <v>7907.666666666667</v>
      </c>
      <c r="BE48" s="278">
        <f t="shared" si="21"/>
        <v>3341.666666666667</v>
      </c>
      <c r="BF48" s="278">
        <f t="shared" si="21"/>
        <v>8907.6666666666679</v>
      </c>
      <c r="BG48" s="278">
        <f t="shared" si="21"/>
        <v>4341.666666666667</v>
      </c>
      <c r="BH48" s="278">
        <f t="shared" si="21"/>
        <v>8907.6666666666679</v>
      </c>
      <c r="BI48" s="278">
        <f t="shared" si="21"/>
        <v>4341.666666666667</v>
      </c>
    </row>
    <row r="49" spans="1:61" ht="14.25" customHeight="1" x14ac:dyDescent="0.35">
      <c r="A49" t="s">
        <v>264</v>
      </c>
      <c r="B49" s="114">
        <f>C20</f>
        <v>9057.2999999999993</v>
      </c>
      <c r="C49" s="114">
        <f t="shared" si="22"/>
        <v>3977.2999999999997</v>
      </c>
      <c r="D49" s="114">
        <f t="shared" si="22"/>
        <v>3407.2999999999997</v>
      </c>
      <c r="E49" s="114">
        <f t="shared" si="22"/>
        <v>4407.2999999999993</v>
      </c>
      <c r="F49" s="114">
        <f t="shared" si="22"/>
        <v>3407.2999999999997</v>
      </c>
      <c r="G49" s="114">
        <f t="shared" si="22"/>
        <v>3407.2999999999997</v>
      </c>
      <c r="H49" s="114">
        <f t="shared" si="22"/>
        <v>4407.2999999999993</v>
      </c>
      <c r="I49" s="114">
        <f t="shared" si="22"/>
        <v>3407.2999999999997</v>
      </c>
      <c r="J49" s="114">
        <f t="shared" si="22"/>
        <v>3407.2999999999997</v>
      </c>
      <c r="K49" s="114">
        <f t="shared" si="22"/>
        <v>4407.2999999999993</v>
      </c>
      <c r="L49" s="114">
        <f t="shared" si="22"/>
        <v>3407.2999999999997</v>
      </c>
      <c r="M49" s="114">
        <f t="shared" si="22"/>
        <v>3457.2999999999997</v>
      </c>
      <c r="N49" s="278">
        <f t="shared" si="23"/>
        <v>9057.2999999999993</v>
      </c>
      <c r="O49" s="278">
        <f t="shared" si="18"/>
        <v>3977.2999999999997</v>
      </c>
      <c r="P49" s="278">
        <f t="shared" si="18"/>
        <v>3407.2999999999997</v>
      </c>
      <c r="Q49" s="278">
        <f t="shared" si="18"/>
        <v>4407.2999999999993</v>
      </c>
      <c r="R49" s="278">
        <f t="shared" si="18"/>
        <v>3407.2999999999997</v>
      </c>
      <c r="S49" s="278">
        <f t="shared" si="18"/>
        <v>3407.2999999999997</v>
      </c>
      <c r="T49" s="278">
        <f t="shared" si="18"/>
        <v>4407.2999999999993</v>
      </c>
      <c r="U49" s="278">
        <f t="shared" si="18"/>
        <v>3407.2999999999997</v>
      </c>
      <c r="V49" s="278">
        <f t="shared" si="18"/>
        <v>3407.2999999999997</v>
      </c>
      <c r="W49" s="278">
        <f t="shared" si="18"/>
        <v>4407.2999999999993</v>
      </c>
      <c r="X49" s="278">
        <f t="shared" si="18"/>
        <v>3407.2999999999997</v>
      </c>
      <c r="Y49" s="278">
        <f t="shared" si="18"/>
        <v>3457.2999999999997</v>
      </c>
      <c r="Z49" s="278">
        <f t="shared" si="18"/>
        <v>9057.2999999999993</v>
      </c>
      <c r="AA49" s="278">
        <f t="shared" si="19"/>
        <v>3977.2999999999997</v>
      </c>
      <c r="AB49" s="278">
        <f t="shared" si="19"/>
        <v>3407.2999999999997</v>
      </c>
      <c r="AC49" s="278">
        <f t="shared" si="19"/>
        <v>4407.2999999999993</v>
      </c>
      <c r="AD49" s="278">
        <f t="shared" si="19"/>
        <v>3407.2999999999997</v>
      </c>
      <c r="AE49" s="278">
        <f t="shared" si="19"/>
        <v>3407.2999999999997</v>
      </c>
      <c r="AF49" s="278">
        <f t="shared" si="19"/>
        <v>4407.2999999999993</v>
      </c>
      <c r="AG49" s="278">
        <f t="shared" si="19"/>
        <v>3407.2999999999997</v>
      </c>
      <c r="AH49" s="278">
        <f t="shared" si="19"/>
        <v>3407.2999999999997</v>
      </c>
      <c r="AI49" s="278">
        <f t="shared" si="19"/>
        <v>4407.2999999999993</v>
      </c>
      <c r="AJ49" s="278">
        <f t="shared" si="19"/>
        <v>3407.2999999999997</v>
      </c>
      <c r="AK49" s="278">
        <f t="shared" si="19"/>
        <v>3457.2999999999997</v>
      </c>
      <c r="AL49" s="278">
        <f t="shared" si="19"/>
        <v>9057.2999999999993</v>
      </c>
      <c r="AM49" s="278">
        <f t="shared" si="20"/>
        <v>3977.2999999999997</v>
      </c>
      <c r="AN49" s="278">
        <f t="shared" si="20"/>
        <v>3407.2999999999997</v>
      </c>
      <c r="AO49" s="278">
        <f t="shared" si="20"/>
        <v>4407.2999999999993</v>
      </c>
      <c r="AP49" s="278">
        <f t="shared" si="20"/>
        <v>3407.2999999999997</v>
      </c>
      <c r="AQ49" s="278">
        <f t="shared" si="20"/>
        <v>3407.2999999999997</v>
      </c>
      <c r="AR49" s="278">
        <f t="shared" si="20"/>
        <v>4407.2999999999993</v>
      </c>
      <c r="AS49" s="278">
        <f t="shared" si="20"/>
        <v>3407.2999999999997</v>
      </c>
      <c r="AT49" s="278">
        <f t="shared" si="20"/>
        <v>3407.2999999999997</v>
      </c>
      <c r="AU49" s="278">
        <f t="shared" si="20"/>
        <v>4407.2999999999993</v>
      </c>
      <c r="AV49" s="278">
        <f t="shared" si="20"/>
        <v>3407.2999999999997</v>
      </c>
      <c r="AW49" s="278">
        <f t="shared" si="20"/>
        <v>3457.2999999999997</v>
      </c>
      <c r="AX49" s="278">
        <f t="shared" si="20"/>
        <v>9057.2999999999993</v>
      </c>
      <c r="AY49" s="278">
        <f t="shared" si="21"/>
        <v>3977.2999999999997</v>
      </c>
      <c r="AZ49" s="278">
        <f t="shared" si="21"/>
        <v>3407.2999999999997</v>
      </c>
      <c r="BA49" s="278">
        <f t="shared" si="21"/>
        <v>4407.2999999999993</v>
      </c>
      <c r="BB49" s="278">
        <f t="shared" si="21"/>
        <v>3407.2999999999997</v>
      </c>
      <c r="BC49" s="278">
        <f t="shared" si="21"/>
        <v>3407.2999999999997</v>
      </c>
      <c r="BD49" s="278">
        <f t="shared" si="21"/>
        <v>4407.2999999999993</v>
      </c>
      <c r="BE49" s="278">
        <f t="shared" si="21"/>
        <v>3407.2999999999997</v>
      </c>
      <c r="BF49" s="278">
        <f t="shared" si="21"/>
        <v>3407.2999999999997</v>
      </c>
      <c r="BG49" s="278">
        <f t="shared" si="21"/>
        <v>4407.2999999999993</v>
      </c>
      <c r="BH49" s="278">
        <f t="shared" si="21"/>
        <v>3407.2999999999997</v>
      </c>
      <c r="BI49" s="278">
        <f t="shared" si="21"/>
        <v>3457.2999999999997</v>
      </c>
    </row>
    <row r="50" spans="1:61" ht="15" customHeight="1" x14ac:dyDescent="0.35">
      <c r="A50" t="s">
        <v>265</v>
      </c>
      <c r="B50" s="47">
        <f t="shared" ref="B50:M51" si="24">C21</f>
        <v>0</v>
      </c>
      <c r="C50" s="47">
        <v>5034.2039999999997</v>
      </c>
      <c r="D50" s="47">
        <f>E21</f>
        <v>0</v>
      </c>
      <c r="E50" s="47">
        <f t="shared" si="22"/>
        <v>0</v>
      </c>
      <c r="F50" s="47">
        <f t="shared" si="22"/>
        <v>0</v>
      </c>
      <c r="G50" s="47">
        <f t="shared" si="22"/>
        <v>0</v>
      </c>
      <c r="H50" s="47">
        <f t="shared" si="22"/>
        <v>0</v>
      </c>
      <c r="I50" s="47">
        <v>5034.2039999999997</v>
      </c>
      <c r="J50" s="47">
        <f t="shared" si="22"/>
        <v>0</v>
      </c>
      <c r="K50" s="47">
        <f t="shared" si="22"/>
        <v>0</v>
      </c>
      <c r="L50" s="47">
        <f t="shared" si="22"/>
        <v>0</v>
      </c>
      <c r="M50" s="47">
        <f t="shared" si="22"/>
        <v>0</v>
      </c>
      <c r="N50" s="278">
        <f t="shared" si="23"/>
        <v>0</v>
      </c>
      <c r="O50" s="278">
        <f t="shared" si="18"/>
        <v>5034.2039999999997</v>
      </c>
      <c r="P50" s="278">
        <f t="shared" si="18"/>
        <v>0</v>
      </c>
      <c r="Q50" s="278">
        <f t="shared" si="18"/>
        <v>0</v>
      </c>
      <c r="R50" s="278">
        <f t="shared" si="18"/>
        <v>0</v>
      </c>
      <c r="S50" s="278">
        <f t="shared" si="18"/>
        <v>0</v>
      </c>
      <c r="T50" s="278">
        <f t="shared" si="18"/>
        <v>0</v>
      </c>
      <c r="U50" s="278">
        <f t="shared" si="18"/>
        <v>5034.2039999999997</v>
      </c>
      <c r="V50" s="278">
        <f t="shared" si="18"/>
        <v>0</v>
      </c>
      <c r="W50" s="278">
        <f t="shared" si="18"/>
        <v>0</v>
      </c>
      <c r="X50" s="278">
        <f t="shared" si="18"/>
        <v>0</v>
      </c>
      <c r="Y50" s="278">
        <f t="shared" si="18"/>
        <v>0</v>
      </c>
      <c r="Z50" s="278">
        <f t="shared" si="18"/>
        <v>0</v>
      </c>
      <c r="AA50" s="278">
        <f t="shared" si="19"/>
        <v>5034.2039999999997</v>
      </c>
      <c r="AB50" s="278">
        <f t="shared" si="19"/>
        <v>0</v>
      </c>
      <c r="AC50" s="278">
        <f t="shared" si="19"/>
        <v>0</v>
      </c>
      <c r="AD50" s="278">
        <f t="shared" si="19"/>
        <v>0</v>
      </c>
      <c r="AE50" s="278">
        <f t="shared" si="19"/>
        <v>0</v>
      </c>
      <c r="AF50" s="278">
        <f t="shared" si="19"/>
        <v>0</v>
      </c>
      <c r="AG50" s="278">
        <f t="shared" si="19"/>
        <v>5034.2039999999997</v>
      </c>
      <c r="AH50" s="278">
        <f t="shared" si="19"/>
        <v>0</v>
      </c>
      <c r="AI50" s="278">
        <f t="shared" si="19"/>
        <v>0</v>
      </c>
      <c r="AJ50" s="278">
        <f t="shared" si="19"/>
        <v>0</v>
      </c>
      <c r="AK50" s="278">
        <f t="shared" si="19"/>
        <v>0</v>
      </c>
      <c r="AL50" s="278">
        <f t="shared" si="19"/>
        <v>0</v>
      </c>
      <c r="AM50" s="278">
        <f t="shared" si="20"/>
        <v>5034.2039999999997</v>
      </c>
      <c r="AN50" s="278">
        <f t="shared" si="20"/>
        <v>0</v>
      </c>
      <c r="AO50" s="278">
        <f t="shared" si="20"/>
        <v>0</v>
      </c>
      <c r="AP50" s="278">
        <f t="shared" si="20"/>
        <v>0</v>
      </c>
      <c r="AQ50" s="278">
        <f t="shared" si="20"/>
        <v>0</v>
      </c>
      <c r="AR50" s="278">
        <f t="shared" si="20"/>
        <v>0</v>
      </c>
      <c r="AS50" s="278">
        <f t="shared" si="20"/>
        <v>5034.2039999999997</v>
      </c>
      <c r="AT50" s="278">
        <f t="shared" si="20"/>
        <v>0</v>
      </c>
      <c r="AU50" s="278">
        <f t="shared" si="20"/>
        <v>0</v>
      </c>
      <c r="AV50" s="278">
        <f t="shared" si="20"/>
        <v>0</v>
      </c>
      <c r="AW50" s="278">
        <f t="shared" si="20"/>
        <v>0</v>
      </c>
      <c r="AX50" s="278">
        <f t="shared" si="20"/>
        <v>0</v>
      </c>
      <c r="AY50" s="278">
        <f t="shared" si="21"/>
        <v>5034.2039999999997</v>
      </c>
      <c r="AZ50" s="278">
        <f t="shared" si="21"/>
        <v>0</v>
      </c>
      <c r="BA50" s="278">
        <f t="shared" si="21"/>
        <v>0</v>
      </c>
      <c r="BB50" s="278">
        <f t="shared" si="21"/>
        <v>0</v>
      </c>
      <c r="BC50" s="278">
        <f t="shared" si="21"/>
        <v>0</v>
      </c>
      <c r="BD50" s="278">
        <f t="shared" si="21"/>
        <v>0</v>
      </c>
      <c r="BE50" s="278">
        <f t="shared" si="21"/>
        <v>5034.2039999999997</v>
      </c>
      <c r="BF50" s="278">
        <f t="shared" si="21"/>
        <v>0</v>
      </c>
      <c r="BG50" s="278">
        <f t="shared" si="21"/>
        <v>0</v>
      </c>
      <c r="BH50" s="278">
        <f t="shared" si="21"/>
        <v>0</v>
      </c>
      <c r="BI50" s="278">
        <f t="shared" si="21"/>
        <v>0</v>
      </c>
    </row>
    <row r="51" spans="1:61" ht="15" customHeight="1" x14ac:dyDescent="0.35">
      <c r="A51" t="s">
        <v>266</v>
      </c>
      <c r="B51" s="278">
        <f>C22</f>
        <v>0</v>
      </c>
      <c r="C51" s="278">
        <v>13669</v>
      </c>
      <c r="D51" s="278">
        <f t="shared" si="24"/>
        <v>0</v>
      </c>
      <c r="E51" s="278">
        <f t="shared" si="24"/>
        <v>0</v>
      </c>
      <c r="F51" s="278">
        <f t="shared" si="24"/>
        <v>0</v>
      </c>
      <c r="G51" s="278">
        <f t="shared" si="24"/>
        <v>0</v>
      </c>
      <c r="H51" s="278">
        <f t="shared" si="24"/>
        <v>0</v>
      </c>
      <c r="I51" s="278">
        <v>13669</v>
      </c>
      <c r="J51" s="278">
        <f t="shared" si="24"/>
        <v>0</v>
      </c>
      <c r="K51" s="278">
        <f t="shared" si="24"/>
        <v>0</v>
      </c>
      <c r="L51" s="278">
        <f t="shared" si="24"/>
        <v>0</v>
      </c>
      <c r="M51" s="278">
        <f t="shared" si="24"/>
        <v>0</v>
      </c>
      <c r="N51" s="278">
        <f>B51</f>
        <v>0</v>
      </c>
      <c r="O51" s="278">
        <f t="shared" si="18"/>
        <v>13669</v>
      </c>
      <c r="P51" s="278">
        <f t="shared" si="18"/>
        <v>0</v>
      </c>
      <c r="Q51" s="278">
        <f t="shared" si="18"/>
        <v>0</v>
      </c>
      <c r="R51" s="278">
        <f t="shared" si="18"/>
        <v>0</v>
      </c>
      <c r="S51" s="278">
        <f t="shared" si="18"/>
        <v>0</v>
      </c>
      <c r="T51" s="278">
        <f t="shared" si="18"/>
        <v>0</v>
      </c>
      <c r="U51" s="278">
        <f t="shared" si="18"/>
        <v>13669</v>
      </c>
      <c r="V51" s="278">
        <f t="shared" si="18"/>
        <v>0</v>
      </c>
      <c r="W51" s="278">
        <f t="shared" si="18"/>
        <v>0</v>
      </c>
      <c r="X51" s="278">
        <f t="shared" si="18"/>
        <v>0</v>
      </c>
      <c r="Y51" s="278">
        <f t="shared" si="18"/>
        <v>0</v>
      </c>
      <c r="Z51" s="278">
        <f>N51</f>
        <v>0</v>
      </c>
      <c r="AA51" s="278">
        <f t="shared" si="19"/>
        <v>13669</v>
      </c>
      <c r="AB51" s="278">
        <f t="shared" si="19"/>
        <v>0</v>
      </c>
      <c r="AC51" s="278">
        <f t="shared" si="19"/>
        <v>0</v>
      </c>
      <c r="AD51" s="278">
        <f t="shared" si="19"/>
        <v>0</v>
      </c>
      <c r="AE51" s="278">
        <f t="shared" si="19"/>
        <v>0</v>
      </c>
      <c r="AF51" s="278">
        <f t="shared" si="19"/>
        <v>0</v>
      </c>
      <c r="AG51" s="278">
        <f t="shared" si="19"/>
        <v>13669</v>
      </c>
      <c r="AH51" s="278">
        <f t="shared" si="19"/>
        <v>0</v>
      </c>
      <c r="AI51" s="278">
        <f t="shared" si="19"/>
        <v>0</v>
      </c>
      <c r="AJ51" s="278">
        <f t="shared" si="19"/>
        <v>0</v>
      </c>
      <c r="AK51" s="278">
        <f t="shared" si="19"/>
        <v>0</v>
      </c>
      <c r="AL51" s="278">
        <f>Z51</f>
        <v>0</v>
      </c>
      <c r="AM51" s="278">
        <f t="shared" si="20"/>
        <v>13669</v>
      </c>
      <c r="AN51" s="278">
        <f t="shared" si="20"/>
        <v>0</v>
      </c>
      <c r="AO51" s="278">
        <f t="shared" si="20"/>
        <v>0</v>
      </c>
      <c r="AP51" s="278">
        <f t="shared" si="20"/>
        <v>0</v>
      </c>
      <c r="AQ51" s="278">
        <f t="shared" si="20"/>
        <v>0</v>
      </c>
      <c r="AR51" s="278">
        <f t="shared" si="20"/>
        <v>0</v>
      </c>
      <c r="AS51" s="278">
        <f t="shared" si="20"/>
        <v>13669</v>
      </c>
      <c r="AT51" s="278">
        <f t="shared" si="20"/>
        <v>0</v>
      </c>
      <c r="AU51" s="278">
        <f t="shared" si="20"/>
        <v>0</v>
      </c>
      <c r="AV51" s="278">
        <f t="shared" si="20"/>
        <v>0</v>
      </c>
      <c r="AW51" s="278">
        <f t="shared" si="20"/>
        <v>0</v>
      </c>
      <c r="AX51" s="278">
        <f>AL51</f>
        <v>0</v>
      </c>
      <c r="AY51" s="278">
        <f t="shared" si="21"/>
        <v>13669</v>
      </c>
      <c r="AZ51" s="278">
        <f t="shared" si="21"/>
        <v>0</v>
      </c>
      <c r="BA51" s="278">
        <f t="shared" si="21"/>
        <v>0</v>
      </c>
      <c r="BB51" s="278">
        <f t="shared" si="21"/>
        <v>0</v>
      </c>
      <c r="BC51" s="278">
        <f t="shared" si="21"/>
        <v>0</v>
      </c>
      <c r="BD51" s="278">
        <f t="shared" si="21"/>
        <v>0</v>
      </c>
      <c r="BE51" s="278">
        <f t="shared" si="21"/>
        <v>13669</v>
      </c>
      <c r="BF51" s="278">
        <f t="shared" si="21"/>
        <v>0</v>
      </c>
      <c r="BG51" s="278">
        <f t="shared" si="21"/>
        <v>0</v>
      </c>
      <c r="BH51" s="278">
        <f t="shared" si="21"/>
        <v>0</v>
      </c>
      <c r="BI51" s="278">
        <f t="shared" si="21"/>
        <v>0</v>
      </c>
    </row>
    <row r="52" spans="1:61" s="279" customFormat="1" ht="15" customHeight="1" x14ac:dyDescent="0.35">
      <c r="A52" s="279" t="s">
        <v>462</v>
      </c>
      <c r="B52" s="281">
        <f>B62*'Marges Produits'!$E$49</f>
        <v>0</v>
      </c>
      <c r="C52" s="282">
        <f>C62*'Marges Produits'!$E$49</f>
        <v>0</v>
      </c>
      <c r="D52" s="282">
        <f>D62*'Marges Produits'!$E$49</f>
        <v>10487.924999999999</v>
      </c>
      <c r="E52" s="282">
        <f>E62*'Marges Produits'!$E$49</f>
        <v>20975.85</v>
      </c>
      <c r="F52" s="282">
        <f>F62*'Marges Produits'!$E$49</f>
        <v>10487.924999999999</v>
      </c>
      <c r="G52" s="282">
        <f>G62*'Marges Produits'!$E$49</f>
        <v>15731.887500000001</v>
      </c>
      <c r="H52" s="282">
        <f>H62*'Marges Produits'!$E$49</f>
        <v>26219.8125</v>
      </c>
      <c r="I52" s="282">
        <f>I62*'Marges Produits'!$E$49</f>
        <v>24122.227500000001</v>
      </c>
      <c r="J52" s="282">
        <f>J62*'Marges Produits'!$E$49</f>
        <v>26219.8125</v>
      </c>
      <c r="K52" s="282">
        <f>K62*'Marges Produits'!$E$49</f>
        <v>26219.8125</v>
      </c>
      <c r="L52" s="282">
        <f>L62*'Marges Produits'!$E$49</f>
        <v>0</v>
      </c>
      <c r="M52" s="283">
        <f>M62*'Marges Produits'!$E$49</f>
        <v>0</v>
      </c>
      <c r="N52" s="281">
        <f>N62*'Marges Produits'!$E$49</f>
        <v>23073.435000000001</v>
      </c>
      <c r="O52" s="282">
        <f>O62*'Marges Produits'!$E$49</f>
        <v>26219.8125</v>
      </c>
      <c r="P52" s="282">
        <f>P62*'Marges Produits'!$E$49</f>
        <v>31463.775000000001</v>
      </c>
      <c r="Q52" s="282">
        <f>Q62*'Marges Produits'!$E$49</f>
        <v>31463.775000000001</v>
      </c>
      <c r="R52" s="282">
        <f>R62*'Marges Produits'!$E$49</f>
        <v>31463.775000000001</v>
      </c>
      <c r="S52" s="282">
        <f>S62*'Marges Produits'!$E$49</f>
        <v>31463.775000000001</v>
      </c>
      <c r="T52" s="282">
        <f>T62*'Marges Produits'!$E$49</f>
        <v>31463.775000000001</v>
      </c>
      <c r="U52" s="282">
        <f>U62*'Marges Produits'!$E$49</f>
        <v>31463.775000000001</v>
      </c>
      <c r="V52" s="282">
        <f>V62*'Marges Produits'!$E$49</f>
        <v>26219.8125</v>
      </c>
      <c r="W52" s="282">
        <f>W62*'Marges Produits'!$E$49</f>
        <v>26219.8125</v>
      </c>
      <c r="X52" s="282">
        <f>X62*'Marges Produits'!$E$49</f>
        <v>26219.8125</v>
      </c>
      <c r="Y52" s="283">
        <f>Y62*'Marges Produits'!$E$49</f>
        <v>0</v>
      </c>
      <c r="Z52" s="281">
        <f>Z62*'Marges Produits'!$E$49</f>
        <v>0</v>
      </c>
      <c r="AA52" s="282">
        <f>AA62*'Marges Produits'!$E$49</f>
        <v>10487.924999999999</v>
      </c>
      <c r="AB52" s="282">
        <f>AB62*'Marges Produits'!$E$49</f>
        <v>26219.8125</v>
      </c>
      <c r="AC52" s="282">
        <f>AC62*'Marges Produits'!$E$49</f>
        <v>31463.775000000001</v>
      </c>
      <c r="AD52" s="282">
        <f>AD62*'Marges Produits'!$E$49</f>
        <v>31463.775000000001</v>
      </c>
      <c r="AE52" s="282">
        <f>AE62*'Marges Produits'!$E$49</f>
        <v>31463.775000000001</v>
      </c>
      <c r="AF52" s="282">
        <f>AF62*'Marges Produits'!$E$49</f>
        <v>31463.775000000001</v>
      </c>
      <c r="AG52" s="282">
        <f>AG62*'Marges Produits'!$E$49</f>
        <v>31463.775000000001</v>
      </c>
      <c r="AH52" s="282">
        <f>AH62*'Marges Produits'!$E$49</f>
        <v>31463.775000000001</v>
      </c>
      <c r="AI52" s="282">
        <f>AI62*'Marges Produits'!$E$49</f>
        <v>26219.8125</v>
      </c>
      <c r="AJ52" s="282">
        <f>AJ62*'Marges Produits'!$E$49</f>
        <v>0</v>
      </c>
      <c r="AK52" s="283">
        <f>AK62*'Marges Produits'!$E$49</f>
        <v>0</v>
      </c>
      <c r="AL52" s="281">
        <f>AL62*'Marges Produits'!$E$49</f>
        <v>0</v>
      </c>
      <c r="AM52" s="282">
        <f>AM62*'Marges Produits'!$E$49</f>
        <v>10487.924999999999</v>
      </c>
      <c r="AN52" s="282">
        <f>AN62*'Marges Produits'!$E$49</f>
        <v>26219.8125</v>
      </c>
      <c r="AO52" s="282">
        <f>AO62*'Marges Produits'!$E$49</f>
        <v>31463.775000000001</v>
      </c>
      <c r="AP52" s="282">
        <f>AP62*'Marges Produits'!$E$49</f>
        <v>31463.775000000001</v>
      </c>
      <c r="AQ52" s="282">
        <f>AQ62*'Marges Produits'!$E$49</f>
        <v>31463.775000000001</v>
      </c>
      <c r="AR52" s="282">
        <f>AR62*'Marges Produits'!$E$49</f>
        <v>20975.85</v>
      </c>
      <c r="AS52" s="282">
        <f>AS62*'Marges Produits'!$E$49</f>
        <v>20975.85</v>
      </c>
      <c r="AT52" s="282">
        <f>AT62*'Marges Produits'!$E$49</f>
        <v>20975.85</v>
      </c>
      <c r="AU52" s="282">
        <f>AU62*'Marges Produits'!$E$49</f>
        <v>15731.887500000001</v>
      </c>
      <c r="AV52" s="282">
        <f>AV62*'Marges Produits'!$E$49</f>
        <v>0</v>
      </c>
      <c r="AW52" s="283">
        <f>AW62*'Marges Produits'!$E$49</f>
        <v>0</v>
      </c>
      <c r="AX52" s="281">
        <f>AX62*'Marges Produits'!$E$49</f>
        <v>0</v>
      </c>
      <c r="AY52" s="282">
        <f>AY62*'Marges Produits'!$E$49</f>
        <v>10487.924999999999</v>
      </c>
      <c r="AZ52" s="282">
        <f>AZ62*'Marges Produits'!$E$49</f>
        <v>26219.8125</v>
      </c>
      <c r="BA52" s="282">
        <f>BA62*'Marges Produits'!$E$49</f>
        <v>31463.775000000001</v>
      </c>
      <c r="BB52" s="282">
        <f>BB62*'Marges Produits'!$E$49</f>
        <v>31463.775000000001</v>
      </c>
      <c r="BC52" s="282">
        <f>BC62*'Marges Produits'!$E$49</f>
        <v>31463.775000000001</v>
      </c>
      <c r="BD52" s="282">
        <f>BD62*'Marges Produits'!$E$49</f>
        <v>20975.85</v>
      </c>
      <c r="BE52" s="282">
        <f>BE62*'Marges Produits'!$E$49</f>
        <v>20975.85</v>
      </c>
      <c r="BF52" s="282">
        <f>BF62*'Marges Produits'!$E$49</f>
        <v>20975.85</v>
      </c>
      <c r="BG52" s="282">
        <f>BG62*'Marges Produits'!$E$49</f>
        <v>15731.887500000001</v>
      </c>
      <c r="BH52" s="282">
        <f>BH62*'Marges Produits'!$E$49</f>
        <v>0</v>
      </c>
      <c r="BI52" s="283">
        <f>BI62*'Marges Produits'!$E$49</f>
        <v>0</v>
      </c>
    </row>
    <row r="53" spans="1:61" ht="14.25" customHeight="1" x14ac:dyDescent="0.35">
      <c r="A53" t="s">
        <v>267</v>
      </c>
      <c r="B53" s="114">
        <f>'Emprunt Bancaire'!$B$27</f>
        <v>4367</v>
      </c>
      <c r="C53" s="47">
        <f>'Emprunt Bancaire'!$B$27</f>
        <v>4367</v>
      </c>
      <c r="D53" s="47">
        <f>'Emprunt Bancaire'!$B$27</f>
        <v>4367</v>
      </c>
      <c r="E53" s="47">
        <f>'Emprunt Bancaire'!$B$27</f>
        <v>4367</v>
      </c>
      <c r="F53" s="47">
        <f>'Emprunt Bancaire'!$B$27</f>
        <v>4367</v>
      </c>
      <c r="G53" s="47">
        <f>'Emprunt Bancaire'!$B$27</f>
        <v>4367</v>
      </c>
      <c r="H53" s="47">
        <f>'Emprunt Bancaire'!$B$27</f>
        <v>4367</v>
      </c>
      <c r="I53" s="47">
        <f>'Emprunt Bancaire'!$B$27</f>
        <v>4367</v>
      </c>
      <c r="J53" s="47">
        <f>'Emprunt Bancaire'!$B$27</f>
        <v>4367</v>
      </c>
      <c r="K53" s="47">
        <f>'Emprunt Bancaire'!$B$27</f>
        <v>4367</v>
      </c>
      <c r="L53" s="47">
        <f>'Emprunt Bancaire'!$B$27</f>
        <v>4367</v>
      </c>
      <c r="M53" s="113">
        <f>'Emprunt Bancaire'!$B$27</f>
        <v>4367</v>
      </c>
      <c r="N53" s="114">
        <f>'Emprunt Bancaire'!$B$27</f>
        <v>4367</v>
      </c>
      <c r="O53" s="47">
        <f>'Emprunt Bancaire'!$B$27</f>
        <v>4367</v>
      </c>
      <c r="P53" s="47">
        <f>'Emprunt Bancaire'!$B$27</f>
        <v>4367</v>
      </c>
      <c r="Q53" s="47">
        <f>'Emprunt Bancaire'!$B$27</f>
        <v>4367</v>
      </c>
      <c r="R53" s="47">
        <f>'Emprunt Bancaire'!$B$27</f>
        <v>4367</v>
      </c>
      <c r="S53" s="47">
        <f>'Emprunt Bancaire'!$B$27</f>
        <v>4367</v>
      </c>
      <c r="T53" s="47">
        <f>'Emprunt Bancaire'!$B$27</f>
        <v>4367</v>
      </c>
      <c r="U53" s="47">
        <f>'Emprunt Bancaire'!$B$27</f>
        <v>4367</v>
      </c>
      <c r="V53" s="47">
        <f>'Emprunt Bancaire'!$B$27</f>
        <v>4367</v>
      </c>
      <c r="W53" s="47">
        <f>'Emprunt Bancaire'!$B$27</f>
        <v>4367</v>
      </c>
      <c r="X53" s="47">
        <f>'Emprunt Bancaire'!$B$27</f>
        <v>4367</v>
      </c>
      <c r="Y53" s="113">
        <f>'Emprunt Bancaire'!$B$27</f>
        <v>4367</v>
      </c>
      <c r="Z53" s="114">
        <f>'Emprunt Bancaire'!$B$27</f>
        <v>4367</v>
      </c>
      <c r="AA53" s="47">
        <f>'Emprunt Bancaire'!$B$27</f>
        <v>4367</v>
      </c>
      <c r="AB53" s="47">
        <f>'Emprunt Bancaire'!$B$27</f>
        <v>4367</v>
      </c>
      <c r="AC53" s="47">
        <f>'Emprunt Bancaire'!$B$27</f>
        <v>4367</v>
      </c>
      <c r="AD53" s="47">
        <f>'Emprunt Bancaire'!$B$27</f>
        <v>4367</v>
      </c>
      <c r="AE53" s="47">
        <f>'Emprunt Bancaire'!$B$27</f>
        <v>4367</v>
      </c>
      <c r="AF53" s="47">
        <f>'Emprunt Bancaire'!$B$27</f>
        <v>4367</v>
      </c>
      <c r="AG53" s="47">
        <f>'Emprunt Bancaire'!$B$27</f>
        <v>4367</v>
      </c>
      <c r="AH53" s="47">
        <f>'Emprunt Bancaire'!$B$27</f>
        <v>4367</v>
      </c>
      <c r="AI53" s="47">
        <f>'Emprunt Bancaire'!$B$27</f>
        <v>4367</v>
      </c>
      <c r="AJ53" s="47">
        <f>'Emprunt Bancaire'!$B$27</f>
        <v>4367</v>
      </c>
      <c r="AK53" s="113">
        <f>'Emprunt Bancaire'!$B$27</f>
        <v>4367</v>
      </c>
      <c r="AL53" s="114">
        <f>'Emprunt Bancaire'!$B$27</f>
        <v>4367</v>
      </c>
      <c r="AM53" s="47">
        <f>'Emprunt Bancaire'!$B$27</f>
        <v>4367</v>
      </c>
      <c r="AN53" s="47">
        <f>'Emprunt Bancaire'!$B$27</f>
        <v>4367</v>
      </c>
      <c r="AO53" s="47">
        <f>'Emprunt Bancaire'!$B$27</f>
        <v>4367</v>
      </c>
      <c r="AP53" s="47"/>
      <c r="AQ53" s="47"/>
      <c r="AR53" s="47"/>
      <c r="AS53" s="47"/>
      <c r="AT53" s="47"/>
      <c r="AU53" s="47"/>
      <c r="AV53" s="47"/>
      <c r="AW53" s="113"/>
      <c r="AX53" s="114"/>
      <c r="AY53" s="47"/>
      <c r="AZ53" s="47"/>
      <c r="BA53" s="47"/>
      <c r="BB53" s="47"/>
      <c r="BC53" s="47"/>
      <c r="BD53" s="47"/>
      <c r="BE53" s="47"/>
      <c r="BF53" s="47"/>
      <c r="BG53" s="47"/>
      <c r="BH53" s="47"/>
      <c r="BI53" s="113"/>
    </row>
    <row r="54" spans="1:61" ht="15" customHeight="1" x14ac:dyDescent="0.35">
      <c r="A54" t="s">
        <v>268</v>
      </c>
      <c r="B54" s="114">
        <f t="shared" ref="B54:BI54" si="25">B42*0.008</f>
        <v>0</v>
      </c>
      <c r="C54" s="47">
        <f t="shared" si="25"/>
        <v>0</v>
      </c>
      <c r="D54" s="47">
        <f t="shared" si="25"/>
        <v>0</v>
      </c>
      <c r="E54" s="47">
        <f t="shared" si="25"/>
        <v>102.88333333333334</v>
      </c>
      <c r="F54" s="47">
        <f t="shared" si="25"/>
        <v>288.07333333333338</v>
      </c>
      <c r="G54" s="47">
        <f t="shared" si="25"/>
        <v>308.65000000000003</v>
      </c>
      <c r="H54" s="47">
        <f t="shared" si="25"/>
        <v>411.53333333333336</v>
      </c>
      <c r="I54" s="47">
        <f t="shared" si="25"/>
        <v>514.41666666666674</v>
      </c>
      <c r="J54" s="47">
        <f t="shared" si="25"/>
        <v>514.41666666666674</v>
      </c>
      <c r="K54" s="47">
        <f t="shared" si="25"/>
        <v>411.53333333333336</v>
      </c>
      <c r="L54" s="47">
        <f t="shared" si="25"/>
        <v>205.76666666666668</v>
      </c>
      <c r="M54" s="113">
        <f t="shared" si="25"/>
        <v>102.88333333333334</v>
      </c>
      <c r="N54" s="114">
        <f t="shared" si="25"/>
        <v>205.76666666666668</v>
      </c>
      <c r="O54" s="47">
        <f t="shared" si="25"/>
        <v>411.53333333333336</v>
      </c>
      <c r="P54" s="47">
        <f t="shared" si="25"/>
        <v>514.41666666666674</v>
      </c>
      <c r="Q54" s="47">
        <f t="shared" si="25"/>
        <v>514.41666666666674</v>
      </c>
      <c r="R54" s="47">
        <f t="shared" si="25"/>
        <v>514.41666666666674</v>
      </c>
      <c r="S54" s="47">
        <f t="shared" si="25"/>
        <v>514.41666666666674</v>
      </c>
      <c r="T54" s="47">
        <f t="shared" si="25"/>
        <v>514.41666666666674</v>
      </c>
      <c r="U54" s="47">
        <f t="shared" si="25"/>
        <v>514.41666666666674</v>
      </c>
      <c r="V54" s="47">
        <f t="shared" si="25"/>
        <v>514.41666666666674</v>
      </c>
      <c r="W54" s="47">
        <f t="shared" si="25"/>
        <v>514.41666666666674</v>
      </c>
      <c r="X54" s="47">
        <f t="shared" si="25"/>
        <v>144.03666666666669</v>
      </c>
      <c r="Y54" s="113">
        <f t="shared" si="25"/>
        <v>102.88333333333334</v>
      </c>
      <c r="Z54" s="114">
        <f t="shared" si="25"/>
        <v>205.76666666666668</v>
      </c>
      <c r="AA54" s="47">
        <f t="shared" si="25"/>
        <v>411.53333333333336</v>
      </c>
      <c r="AB54" s="47">
        <f t="shared" si="25"/>
        <v>514.41666666666674</v>
      </c>
      <c r="AC54" s="47">
        <f t="shared" si="25"/>
        <v>514.41666666666674</v>
      </c>
      <c r="AD54" s="47">
        <f t="shared" si="25"/>
        <v>514.41666666666674</v>
      </c>
      <c r="AE54" s="47">
        <f t="shared" si="25"/>
        <v>514.41666666666674</v>
      </c>
      <c r="AF54" s="47">
        <f t="shared" si="25"/>
        <v>514.41666666666674</v>
      </c>
      <c r="AG54" s="47">
        <f t="shared" si="25"/>
        <v>514.41666666666674</v>
      </c>
      <c r="AH54" s="47">
        <f t="shared" si="25"/>
        <v>514.41666666666674</v>
      </c>
      <c r="AI54" s="47">
        <f t="shared" si="25"/>
        <v>514.41666666666674</v>
      </c>
      <c r="AJ54" s="47">
        <f t="shared" si="25"/>
        <v>144.03666666666669</v>
      </c>
      <c r="AK54" s="113">
        <f t="shared" si="25"/>
        <v>102.88333333333334</v>
      </c>
      <c r="AL54" s="114">
        <f t="shared" si="25"/>
        <v>205.76666666666668</v>
      </c>
      <c r="AM54" s="47">
        <f t="shared" si="25"/>
        <v>308.65000000000003</v>
      </c>
      <c r="AN54" s="47">
        <f t="shared" si="25"/>
        <v>411.53333333333336</v>
      </c>
      <c r="AO54" s="47">
        <f t="shared" si="25"/>
        <v>411.53333333333336</v>
      </c>
      <c r="AP54" s="47">
        <f t="shared" si="25"/>
        <v>411.53333333333336</v>
      </c>
      <c r="AQ54" s="47">
        <f t="shared" si="25"/>
        <v>411.53333333333336</v>
      </c>
      <c r="AR54" s="47">
        <f t="shared" si="25"/>
        <v>411.53333333333336</v>
      </c>
      <c r="AS54" s="47">
        <f t="shared" si="25"/>
        <v>411.53333333333336</v>
      </c>
      <c r="AT54" s="47">
        <f t="shared" si="25"/>
        <v>308.65000000000003</v>
      </c>
      <c r="AU54" s="47">
        <f t="shared" si="25"/>
        <v>308.65000000000003</v>
      </c>
      <c r="AV54" s="47">
        <f t="shared" si="25"/>
        <v>144.03666666666669</v>
      </c>
      <c r="AW54" s="113">
        <f t="shared" si="25"/>
        <v>102.88333333333334</v>
      </c>
      <c r="AX54" s="114">
        <f t="shared" si="25"/>
        <v>216.05500000000004</v>
      </c>
      <c r="AY54" s="47">
        <f t="shared" si="25"/>
        <v>324.08250000000004</v>
      </c>
      <c r="AZ54" s="47">
        <f t="shared" si="25"/>
        <v>432.11000000000007</v>
      </c>
      <c r="BA54" s="47">
        <f t="shared" si="25"/>
        <v>432.11000000000007</v>
      </c>
      <c r="BB54" s="47">
        <f t="shared" si="25"/>
        <v>432.11000000000007</v>
      </c>
      <c r="BC54" s="47">
        <f t="shared" si="25"/>
        <v>432.11000000000007</v>
      </c>
      <c r="BD54" s="47">
        <f t="shared" si="25"/>
        <v>432.11000000000007</v>
      </c>
      <c r="BE54" s="47">
        <f t="shared" si="25"/>
        <v>432.11000000000007</v>
      </c>
      <c r="BF54" s="47">
        <f t="shared" si="25"/>
        <v>324.08250000000004</v>
      </c>
      <c r="BG54" s="47">
        <f t="shared" si="25"/>
        <v>324.08250000000004</v>
      </c>
      <c r="BH54" s="47">
        <f t="shared" si="25"/>
        <v>151.23850000000004</v>
      </c>
      <c r="BI54" s="113">
        <f t="shared" si="25"/>
        <v>108.02750000000002</v>
      </c>
    </row>
    <row r="55" spans="1:61" ht="14.25" customHeight="1" x14ac:dyDescent="0.35">
      <c r="A55" t="s">
        <v>269</v>
      </c>
      <c r="B55" s="115">
        <f t="shared" ref="B55:AG55" si="26">(SUM(B46:B54)*0.15)</f>
        <v>4402.3602999999994</v>
      </c>
      <c r="C55" s="103">
        <f t="shared" si="26"/>
        <v>5385.9408999999996</v>
      </c>
      <c r="D55" s="103">
        <f t="shared" si="26"/>
        <v>4753.0490499999996</v>
      </c>
      <c r="E55" s="103">
        <f t="shared" si="26"/>
        <v>5506.7702999999992</v>
      </c>
      <c r="F55" s="103">
        <f t="shared" si="26"/>
        <v>4496.2600499999999</v>
      </c>
      <c r="G55" s="103">
        <f t="shared" si="26"/>
        <v>4601.0409250000002</v>
      </c>
      <c r="H55" s="103">
        <f t="shared" si="26"/>
        <v>7249.562175</v>
      </c>
      <c r="I55" s="103">
        <f t="shared" si="26"/>
        <v>8545.9375249999994</v>
      </c>
      <c r="J55" s="103">
        <f t="shared" si="26"/>
        <v>6889.994674999999</v>
      </c>
      <c r="K55" s="103">
        <f t="shared" si="26"/>
        <v>6339.6621749999995</v>
      </c>
      <c r="L55" s="103">
        <f t="shared" si="26"/>
        <v>2910.7252999999996</v>
      </c>
      <c r="M55" s="116">
        <f t="shared" si="26"/>
        <v>2217.8927999999996</v>
      </c>
      <c r="N55" s="115">
        <f t="shared" si="26"/>
        <v>7894.2405500000004</v>
      </c>
      <c r="O55" s="103">
        <f t="shared" si="26"/>
        <v>9380.6427749999984</v>
      </c>
      <c r="P55" s="103">
        <f t="shared" si="26"/>
        <v>7976.5890499999996</v>
      </c>
      <c r="Q55" s="103">
        <f t="shared" si="26"/>
        <v>7141.68905</v>
      </c>
      <c r="R55" s="103">
        <f t="shared" si="26"/>
        <v>7676.5890499999996</v>
      </c>
      <c r="S55" s="103">
        <f t="shared" si="26"/>
        <v>6991.68905</v>
      </c>
      <c r="T55" s="103">
        <f t="shared" si="26"/>
        <v>8051.5890499999996</v>
      </c>
      <c r="U55" s="103">
        <f t="shared" si="26"/>
        <v>9647.1696499999998</v>
      </c>
      <c r="V55" s="103">
        <f t="shared" si="26"/>
        <v>6889.994674999999</v>
      </c>
      <c r="W55" s="103">
        <f t="shared" si="26"/>
        <v>6355.0946749999994</v>
      </c>
      <c r="X55" s="103">
        <f t="shared" si="26"/>
        <v>6834.4376750000001</v>
      </c>
      <c r="Y55" s="116">
        <f t="shared" si="26"/>
        <v>2217.8927999999996</v>
      </c>
      <c r="Z55" s="115">
        <f t="shared" si="26"/>
        <v>4433.2253000000001</v>
      </c>
      <c r="AA55" s="103">
        <f t="shared" si="26"/>
        <v>7020.8596499999985</v>
      </c>
      <c r="AB55" s="103">
        <f t="shared" si="26"/>
        <v>7189.994674999999</v>
      </c>
      <c r="AC55" s="103">
        <f t="shared" si="26"/>
        <v>7141.68905</v>
      </c>
      <c r="AD55" s="103">
        <f t="shared" si="26"/>
        <v>7676.5890499999996</v>
      </c>
      <c r="AE55" s="103">
        <f t="shared" si="26"/>
        <v>6991.68905</v>
      </c>
      <c r="AF55" s="103">
        <f t="shared" si="26"/>
        <v>8051.5890499999996</v>
      </c>
      <c r="AG55" s="103">
        <f t="shared" si="26"/>
        <v>9647.1696499999998</v>
      </c>
      <c r="AH55" s="103">
        <f t="shared" ref="AH55:BI55" si="27">(SUM(AH46:AH54)*0.15)</f>
        <v>7676.5890499999996</v>
      </c>
      <c r="AI55" s="103">
        <f t="shared" si="27"/>
        <v>6355.0946749999994</v>
      </c>
      <c r="AJ55" s="103">
        <f t="shared" si="27"/>
        <v>2901.4657999999999</v>
      </c>
      <c r="AK55" s="116">
        <f t="shared" si="27"/>
        <v>2217.8927999999996</v>
      </c>
      <c r="AL55" s="115">
        <f t="shared" si="27"/>
        <v>4433.2253000000001</v>
      </c>
      <c r="AM55" s="103">
        <f t="shared" si="27"/>
        <v>7005.4271499999986</v>
      </c>
      <c r="AN55" s="103">
        <f t="shared" si="27"/>
        <v>7174.562175</v>
      </c>
      <c r="AO55" s="103">
        <f t="shared" si="27"/>
        <v>7126.2565500000001</v>
      </c>
      <c r="AP55" s="103">
        <f t="shared" si="27"/>
        <v>7006.1065499999995</v>
      </c>
      <c r="AQ55" s="103">
        <f t="shared" si="27"/>
        <v>6321.2065499999999</v>
      </c>
      <c r="AR55" s="103">
        <f t="shared" si="27"/>
        <v>5807.9177999999993</v>
      </c>
      <c r="AS55" s="103">
        <f t="shared" si="27"/>
        <v>7403.4983999999986</v>
      </c>
      <c r="AT55" s="103">
        <f t="shared" si="27"/>
        <v>5417.4852999999994</v>
      </c>
      <c r="AU55" s="103">
        <f t="shared" si="27"/>
        <v>4095.9909250000001</v>
      </c>
      <c r="AV55" s="103">
        <f t="shared" si="27"/>
        <v>2246.4157999999998</v>
      </c>
      <c r="AW55" s="116">
        <f t="shared" si="27"/>
        <v>1562.8427999999999</v>
      </c>
      <c r="AX55" s="115">
        <f t="shared" si="27"/>
        <v>3779.7185499999996</v>
      </c>
      <c r="AY55" s="103">
        <f t="shared" si="27"/>
        <v>6352.6920249999985</v>
      </c>
      <c r="AZ55" s="103">
        <f t="shared" si="27"/>
        <v>6522.5986750000002</v>
      </c>
      <c r="BA55" s="103">
        <f t="shared" si="27"/>
        <v>6474.2930500000002</v>
      </c>
      <c r="BB55" s="103">
        <f t="shared" si="27"/>
        <v>7009.1930499999999</v>
      </c>
      <c r="BC55" s="103">
        <f t="shared" si="27"/>
        <v>6324.2930500000002</v>
      </c>
      <c r="BD55" s="103">
        <f t="shared" si="27"/>
        <v>5811.0042999999996</v>
      </c>
      <c r="BE55" s="103">
        <f t="shared" si="27"/>
        <v>7406.5848999999989</v>
      </c>
      <c r="BF55" s="103">
        <f t="shared" si="27"/>
        <v>5419.8001749999994</v>
      </c>
      <c r="BG55" s="103">
        <f t="shared" si="27"/>
        <v>4098.3058000000001</v>
      </c>
      <c r="BH55" s="103">
        <f t="shared" si="27"/>
        <v>2247.4960749999996</v>
      </c>
      <c r="BI55" s="116">
        <f t="shared" si="27"/>
        <v>1563.614425</v>
      </c>
    </row>
    <row r="56" spans="1:61" ht="15" customHeight="1" x14ac:dyDescent="0.35">
      <c r="A56" s="33" t="s">
        <v>270</v>
      </c>
      <c r="B56" s="114">
        <f t="shared" ref="B56:BI56" si="28">SUM(B46:B55)</f>
        <v>33751.428966666666</v>
      </c>
      <c r="C56" s="47">
        <f t="shared" si="28"/>
        <v>41292.213566666665</v>
      </c>
      <c r="D56" s="47">
        <f t="shared" si="28"/>
        <v>36440.042716666663</v>
      </c>
      <c r="E56" s="47">
        <f t="shared" si="28"/>
        <v>42218.572299999993</v>
      </c>
      <c r="F56" s="47">
        <f t="shared" si="28"/>
        <v>34471.32705</v>
      </c>
      <c r="G56" s="47">
        <f t="shared" si="28"/>
        <v>35274.647091666666</v>
      </c>
      <c r="H56" s="47">
        <f t="shared" si="28"/>
        <v>55579.976674999998</v>
      </c>
      <c r="I56" s="47">
        <f t="shared" si="28"/>
        <v>65518.85435833333</v>
      </c>
      <c r="J56" s="47">
        <f t="shared" si="28"/>
        <v>52823.292508333332</v>
      </c>
      <c r="K56" s="47">
        <f t="shared" si="28"/>
        <v>48604.076674999997</v>
      </c>
      <c r="L56" s="47">
        <f t="shared" si="28"/>
        <v>22315.560633333331</v>
      </c>
      <c r="M56" s="113">
        <f t="shared" si="28"/>
        <v>17003.844799999999</v>
      </c>
      <c r="N56" s="114">
        <f t="shared" si="28"/>
        <v>60522.510883333343</v>
      </c>
      <c r="O56" s="47">
        <f t="shared" si="28"/>
        <v>71918.261274999997</v>
      </c>
      <c r="P56" s="47">
        <f t="shared" si="28"/>
        <v>61153.849383333334</v>
      </c>
      <c r="Q56" s="47">
        <f t="shared" si="28"/>
        <v>54752.949383333333</v>
      </c>
      <c r="R56" s="47">
        <f t="shared" si="28"/>
        <v>58853.849383333334</v>
      </c>
      <c r="S56" s="47">
        <f t="shared" si="28"/>
        <v>53602.949383333333</v>
      </c>
      <c r="T56" s="47">
        <f t="shared" si="28"/>
        <v>61728.849383333334</v>
      </c>
      <c r="U56" s="47">
        <f t="shared" si="28"/>
        <v>73961.633983333333</v>
      </c>
      <c r="V56" s="47">
        <f t="shared" si="28"/>
        <v>52823.292508333332</v>
      </c>
      <c r="W56" s="47">
        <f t="shared" si="28"/>
        <v>48722.392508333331</v>
      </c>
      <c r="X56" s="47">
        <f t="shared" si="28"/>
        <v>52397.355508333334</v>
      </c>
      <c r="Y56" s="113">
        <f t="shared" si="28"/>
        <v>17003.844799999999</v>
      </c>
      <c r="Z56" s="114">
        <f t="shared" si="28"/>
        <v>33988.060633333334</v>
      </c>
      <c r="AA56" s="47">
        <f t="shared" si="28"/>
        <v>53826.590649999991</v>
      </c>
      <c r="AB56" s="47">
        <f t="shared" si="28"/>
        <v>55123.292508333332</v>
      </c>
      <c r="AC56" s="47">
        <f t="shared" si="28"/>
        <v>54752.949383333333</v>
      </c>
      <c r="AD56" s="47">
        <f t="shared" si="28"/>
        <v>58853.849383333334</v>
      </c>
      <c r="AE56" s="47">
        <f t="shared" si="28"/>
        <v>53602.949383333333</v>
      </c>
      <c r="AF56" s="47">
        <f t="shared" si="28"/>
        <v>61728.849383333334</v>
      </c>
      <c r="AG56" s="47">
        <f t="shared" si="28"/>
        <v>73961.633983333333</v>
      </c>
      <c r="AH56" s="47">
        <f t="shared" si="28"/>
        <v>58853.849383333334</v>
      </c>
      <c r="AI56" s="47">
        <f t="shared" si="28"/>
        <v>48722.392508333331</v>
      </c>
      <c r="AJ56" s="47">
        <f t="shared" si="28"/>
        <v>22244.571133333331</v>
      </c>
      <c r="AK56" s="113">
        <f t="shared" si="28"/>
        <v>17003.844799999999</v>
      </c>
      <c r="AL56" s="114">
        <f t="shared" si="28"/>
        <v>33988.060633333334</v>
      </c>
      <c r="AM56" s="47">
        <f t="shared" si="28"/>
        <v>53708.274816666657</v>
      </c>
      <c r="AN56" s="47">
        <f t="shared" si="28"/>
        <v>55004.976674999998</v>
      </c>
      <c r="AO56" s="47">
        <f t="shared" si="28"/>
        <v>54634.633549999999</v>
      </c>
      <c r="AP56" s="47">
        <f t="shared" si="28"/>
        <v>53713.483549999997</v>
      </c>
      <c r="AQ56" s="47">
        <f t="shared" si="28"/>
        <v>48462.583550000003</v>
      </c>
      <c r="AR56" s="47">
        <f t="shared" si="28"/>
        <v>44527.3698</v>
      </c>
      <c r="AS56" s="47">
        <f t="shared" si="28"/>
        <v>56760.154399999992</v>
      </c>
      <c r="AT56" s="47">
        <f t="shared" si="28"/>
        <v>41534.053966666666</v>
      </c>
      <c r="AU56" s="47">
        <f t="shared" si="28"/>
        <v>31402.59709166667</v>
      </c>
      <c r="AV56" s="47">
        <f t="shared" si="28"/>
        <v>17222.521133333332</v>
      </c>
      <c r="AW56" s="113">
        <f t="shared" si="28"/>
        <v>11981.7948</v>
      </c>
      <c r="AX56" s="114">
        <f t="shared" si="28"/>
        <v>28977.842216666664</v>
      </c>
      <c r="AY56" s="47">
        <f t="shared" si="28"/>
        <v>48703.972191666653</v>
      </c>
      <c r="AZ56" s="47">
        <f t="shared" si="28"/>
        <v>50006.589841666668</v>
      </c>
      <c r="BA56" s="47">
        <f t="shared" si="28"/>
        <v>49636.246716666668</v>
      </c>
      <c r="BB56" s="47">
        <f t="shared" si="28"/>
        <v>53737.14671666667</v>
      </c>
      <c r="BC56" s="47">
        <f t="shared" si="28"/>
        <v>48486.246716666668</v>
      </c>
      <c r="BD56" s="47">
        <f t="shared" si="28"/>
        <v>44551.032966666666</v>
      </c>
      <c r="BE56" s="47">
        <f t="shared" si="28"/>
        <v>56783.817566666665</v>
      </c>
      <c r="BF56" s="47">
        <f t="shared" si="28"/>
        <v>41551.801341666658</v>
      </c>
      <c r="BG56" s="47">
        <f t="shared" si="28"/>
        <v>31420.344466666669</v>
      </c>
      <c r="BH56" s="47">
        <f t="shared" si="28"/>
        <v>17230.803241666665</v>
      </c>
      <c r="BI56" s="113">
        <f t="shared" si="28"/>
        <v>11987.710591666666</v>
      </c>
    </row>
    <row r="57" spans="1:61" ht="15" customHeight="1" x14ac:dyDescent="0.35">
      <c r="B57" s="111"/>
      <c r="M57" s="112"/>
      <c r="N57" s="111"/>
      <c r="Y57" s="112"/>
      <c r="Z57" s="111"/>
      <c r="AK57" s="112"/>
      <c r="AL57" s="111"/>
      <c r="AW57" s="112"/>
      <c r="AX57" s="111"/>
      <c r="BI57" s="112"/>
    </row>
    <row r="58" spans="1:61" ht="14.25" customHeight="1" x14ac:dyDescent="0.35">
      <c r="A58" s="33" t="s">
        <v>271</v>
      </c>
      <c r="B58" s="114">
        <f t="shared" ref="B58:BI58" si="29">B43-B56</f>
        <v>-33751.428966666666</v>
      </c>
      <c r="C58" s="47">
        <f t="shared" si="29"/>
        <v>-41292.213566666665</v>
      </c>
      <c r="D58" s="47">
        <f t="shared" si="29"/>
        <v>13559.957283333337</v>
      </c>
      <c r="E58" s="47">
        <f t="shared" si="29"/>
        <v>-29358.155633333325</v>
      </c>
      <c r="F58" s="47">
        <f t="shared" si="29"/>
        <v>1537.8396166666716</v>
      </c>
      <c r="G58" s="47">
        <f t="shared" si="29"/>
        <v>3306.6029083333342</v>
      </c>
      <c r="H58" s="47">
        <f t="shared" si="29"/>
        <v>-4138.3100083333266</v>
      </c>
      <c r="I58" s="47">
        <f t="shared" si="29"/>
        <v>-1216.7710249999946</v>
      </c>
      <c r="J58" s="47">
        <f t="shared" si="29"/>
        <v>11478.790825000004</v>
      </c>
      <c r="K58" s="47">
        <f t="shared" si="29"/>
        <v>2837.5899916666749</v>
      </c>
      <c r="L58" s="47">
        <f t="shared" si="29"/>
        <v>3405.272700000005</v>
      </c>
      <c r="M58" s="113">
        <f t="shared" si="29"/>
        <v>-4143.4281333333311</v>
      </c>
      <c r="N58" s="114">
        <f t="shared" si="29"/>
        <v>-34801.677550000008</v>
      </c>
      <c r="O58" s="47">
        <f t="shared" si="29"/>
        <v>-20476.594608333326</v>
      </c>
      <c r="P58" s="47">
        <f t="shared" si="29"/>
        <v>3148.2339500000016</v>
      </c>
      <c r="Q58" s="47">
        <f t="shared" si="29"/>
        <v>9549.1339500000031</v>
      </c>
      <c r="R58" s="47">
        <f t="shared" si="29"/>
        <v>5448.2339500000016</v>
      </c>
      <c r="S58" s="47">
        <f t="shared" si="29"/>
        <v>10699.133950000003</v>
      </c>
      <c r="T58" s="47">
        <f t="shared" si="29"/>
        <v>2573.2339500000016</v>
      </c>
      <c r="U58" s="47">
        <f t="shared" si="29"/>
        <v>-9659.5506499999974</v>
      </c>
      <c r="V58" s="47">
        <f t="shared" si="29"/>
        <v>11478.790825000004</v>
      </c>
      <c r="W58" s="47">
        <f t="shared" si="29"/>
        <v>15579.690825000005</v>
      </c>
      <c r="X58" s="47">
        <f t="shared" si="29"/>
        <v>-34392.772174999998</v>
      </c>
      <c r="Y58" s="113">
        <f t="shared" si="29"/>
        <v>-4143.4281333333311</v>
      </c>
      <c r="Z58" s="114">
        <f t="shared" si="29"/>
        <v>-8267.2272999999986</v>
      </c>
      <c r="AA58" s="47">
        <f t="shared" si="29"/>
        <v>-2384.9239833333195</v>
      </c>
      <c r="AB58" s="47">
        <f t="shared" si="29"/>
        <v>9178.7908250000037</v>
      </c>
      <c r="AC58" s="47">
        <f t="shared" si="29"/>
        <v>9549.1339500000031</v>
      </c>
      <c r="AD58" s="47">
        <f t="shared" si="29"/>
        <v>5448.2339500000016</v>
      </c>
      <c r="AE58" s="47">
        <f t="shared" si="29"/>
        <v>10699.133950000003</v>
      </c>
      <c r="AF58" s="47">
        <f t="shared" si="29"/>
        <v>2573.2339500000016</v>
      </c>
      <c r="AG58" s="47">
        <f t="shared" si="29"/>
        <v>-9659.5506499999974</v>
      </c>
      <c r="AH58" s="47">
        <f t="shared" si="29"/>
        <v>5448.2339500000016</v>
      </c>
      <c r="AI58" s="47">
        <f t="shared" si="29"/>
        <v>15579.690825000005</v>
      </c>
      <c r="AJ58" s="47">
        <f t="shared" si="29"/>
        <v>-4239.9877999999953</v>
      </c>
      <c r="AK58" s="113">
        <f t="shared" si="29"/>
        <v>-4143.4281333333311</v>
      </c>
      <c r="AL58" s="114">
        <f t="shared" si="29"/>
        <v>-8267.2272999999986</v>
      </c>
      <c r="AM58" s="47">
        <f t="shared" si="29"/>
        <v>-15127.024816666657</v>
      </c>
      <c r="AN58" s="47">
        <f t="shared" si="29"/>
        <v>-3563.3100083333266</v>
      </c>
      <c r="AO58" s="47">
        <f t="shared" si="29"/>
        <v>-3192.9668833333271</v>
      </c>
      <c r="AP58" s="47">
        <f t="shared" si="29"/>
        <v>-2271.8168833333257</v>
      </c>
      <c r="AQ58" s="47">
        <f t="shared" si="29"/>
        <v>2979.0831166666685</v>
      </c>
      <c r="AR58" s="47">
        <f t="shared" si="29"/>
        <v>6914.2968666666711</v>
      </c>
      <c r="AS58" s="47">
        <f t="shared" si="29"/>
        <v>-5318.4877333333206</v>
      </c>
      <c r="AT58" s="47">
        <f t="shared" si="29"/>
        <v>-2952.8039666666664</v>
      </c>
      <c r="AU58" s="47">
        <f t="shared" si="29"/>
        <v>7178.6529083333298</v>
      </c>
      <c r="AV58" s="47">
        <f t="shared" si="29"/>
        <v>782.06220000000394</v>
      </c>
      <c r="AW58" s="113">
        <f t="shared" si="29"/>
        <v>878.62186666666821</v>
      </c>
      <c r="AX58" s="114">
        <f t="shared" si="29"/>
        <v>-1970.9672166666605</v>
      </c>
      <c r="AY58" s="47">
        <f t="shared" si="29"/>
        <v>-8193.6596916666458</v>
      </c>
      <c r="AZ58" s="47">
        <f t="shared" si="29"/>
        <v>4007.1601583333395</v>
      </c>
      <c r="BA58" s="47">
        <f t="shared" si="29"/>
        <v>4377.5032833333389</v>
      </c>
      <c r="BB58" s="47">
        <f t="shared" si="29"/>
        <v>276.60328333333746</v>
      </c>
      <c r="BC58" s="47">
        <f t="shared" si="29"/>
        <v>5527.5032833333389</v>
      </c>
      <c r="BD58" s="47">
        <f t="shared" si="29"/>
        <v>9462.7170333333415</v>
      </c>
      <c r="BE58" s="47">
        <f t="shared" si="29"/>
        <v>-2770.0675666666575</v>
      </c>
      <c r="BF58" s="47">
        <f t="shared" si="29"/>
        <v>-1041.4888416666508</v>
      </c>
      <c r="BG58" s="47">
        <f t="shared" si="29"/>
        <v>9089.9680333333381</v>
      </c>
      <c r="BH58" s="47">
        <f t="shared" si="29"/>
        <v>1674.0092583333389</v>
      </c>
      <c r="BI58" s="113">
        <f t="shared" si="29"/>
        <v>1515.7269083333358</v>
      </c>
    </row>
    <row r="59" spans="1:61" ht="15" customHeight="1" x14ac:dyDescent="0.35">
      <c r="A59" s="104" t="s">
        <v>272</v>
      </c>
      <c r="B59" s="117">
        <f>N30+B58</f>
        <v>101105.33680000005</v>
      </c>
      <c r="C59" s="105">
        <f t="shared" ref="C59:BI59" si="30">B59+C58</f>
        <v>59813.123233333383</v>
      </c>
      <c r="D59" s="105">
        <f t="shared" si="30"/>
        <v>73373.080516666727</v>
      </c>
      <c r="E59" s="105">
        <f t="shared" si="30"/>
        <v>44014.924883333399</v>
      </c>
      <c r="F59" s="105">
        <f t="shared" si="30"/>
        <v>45552.76450000007</v>
      </c>
      <c r="G59" s="105">
        <f t="shared" si="30"/>
        <v>48859.367408333404</v>
      </c>
      <c r="H59" s="105">
        <f t="shared" si="30"/>
        <v>44721.057400000078</v>
      </c>
      <c r="I59" s="105">
        <f t="shared" si="30"/>
        <v>43504.286375000083</v>
      </c>
      <c r="J59" s="105">
        <f t="shared" si="30"/>
        <v>54983.077200000087</v>
      </c>
      <c r="K59" s="105">
        <f t="shared" si="30"/>
        <v>57820.667191666762</v>
      </c>
      <c r="L59" s="105">
        <f t="shared" si="30"/>
        <v>61225.939891666771</v>
      </c>
      <c r="M59" s="118">
        <f t="shared" si="30"/>
        <v>57082.511758333436</v>
      </c>
      <c r="N59" s="118">
        <f t="shared" si="30"/>
        <v>22280.834208333428</v>
      </c>
      <c r="O59" s="118">
        <f t="shared" si="30"/>
        <v>1804.2396000001027</v>
      </c>
      <c r="P59" s="118">
        <f t="shared" si="30"/>
        <v>4952.4735500001043</v>
      </c>
      <c r="Q59" s="118">
        <f t="shared" si="30"/>
        <v>14501.607500000107</v>
      </c>
      <c r="R59" s="118">
        <f t="shared" si="30"/>
        <v>19949.841450000109</v>
      </c>
      <c r="S59" s="118">
        <f t="shared" si="30"/>
        <v>30648.975400000112</v>
      </c>
      <c r="T59" s="118">
        <f t="shared" si="30"/>
        <v>33222.209350000114</v>
      </c>
      <c r="U59" s="118">
        <f t="shared" si="30"/>
        <v>23562.658700000116</v>
      </c>
      <c r="V59" s="118">
        <f t="shared" si="30"/>
        <v>35041.44952500012</v>
      </c>
      <c r="W59" s="118">
        <f t="shared" si="30"/>
        <v>50621.140350000125</v>
      </c>
      <c r="X59" s="118">
        <f t="shared" si="30"/>
        <v>16228.368175000127</v>
      </c>
      <c r="Y59" s="118">
        <f t="shared" si="30"/>
        <v>12084.940041666796</v>
      </c>
      <c r="Z59" s="118">
        <f t="shared" si="30"/>
        <v>3817.7127416667972</v>
      </c>
      <c r="AA59" s="118">
        <f t="shared" si="30"/>
        <v>1432.7887583334777</v>
      </c>
      <c r="AB59" s="118">
        <f t="shared" si="30"/>
        <v>10611.579583333481</v>
      </c>
      <c r="AC59" s="118">
        <f t="shared" si="30"/>
        <v>20160.713533333485</v>
      </c>
      <c r="AD59" s="118">
        <f t="shared" si="30"/>
        <v>25608.947483333486</v>
      </c>
      <c r="AE59" s="118">
        <f t="shared" si="30"/>
        <v>36308.081433333486</v>
      </c>
      <c r="AF59" s="118">
        <f t="shared" si="30"/>
        <v>38881.315383333487</v>
      </c>
      <c r="AG59" s="118">
        <f t="shared" si="30"/>
        <v>29221.76473333349</v>
      </c>
      <c r="AH59" s="118">
        <f t="shared" si="30"/>
        <v>34669.998683333491</v>
      </c>
      <c r="AI59" s="118">
        <f t="shared" si="30"/>
        <v>50249.689508333497</v>
      </c>
      <c r="AJ59" s="118">
        <f t="shared" si="30"/>
        <v>46009.701708333501</v>
      </c>
      <c r="AK59" s="118">
        <f t="shared" si="30"/>
        <v>41866.273575000174</v>
      </c>
      <c r="AL59" s="118">
        <f t="shared" si="30"/>
        <v>33599.046275000175</v>
      </c>
      <c r="AM59" s="118">
        <f t="shared" si="30"/>
        <v>18472.021458333518</v>
      </c>
      <c r="AN59" s="118">
        <f t="shared" si="30"/>
        <v>14908.711450000192</v>
      </c>
      <c r="AO59" s="118">
        <f t="shared" si="30"/>
        <v>11715.744566666865</v>
      </c>
      <c r="AP59" s="118">
        <f t="shared" si="30"/>
        <v>9443.9276833335389</v>
      </c>
      <c r="AQ59" s="118">
        <f t="shared" si="30"/>
        <v>12423.010800000207</v>
      </c>
      <c r="AR59" s="118">
        <f t="shared" si="30"/>
        <v>19337.307666666879</v>
      </c>
      <c r="AS59" s="118">
        <f t="shared" si="30"/>
        <v>14018.819933333558</v>
      </c>
      <c r="AT59" s="118">
        <f t="shared" si="30"/>
        <v>11066.015966666891</v>
      </c>
      <c r="AU59" s="118">
        <f t="shared" si="30"/>
        <v>18244.668875000221</v>
      </c>
      <c r="AV59" s="118">
        <f t="shared" si="30"/>
        <v>19026.731075000225</v>
      </c>
      <c r="AW59" s="118">
        <f t="shared" si="30"/>
        <v>19905.352941666893</v>
      </c>
      <c r="AX59" s="118">
        <f t="shared" si="30"/>
        <v>17934.385725000233</v>
      </c>
      <c r="AY59" s="118">
        <f t="shared" si="30"/>
        <v>9740.7260333335871</v>
      </c>
      <c r="AZ59" s="118">
        <f t="shared" si="30"/>
        <v>13747.886191666927</v>
      </c>
      <c r="BA59" s="118">
        <f t="shared" si="30"/>
        <v>18125.389475000266</v>
      </c>
      <c r="BB59" s="118">
        <f t="shared" si="30"/>
        <v>18401.992758333603</v>
      </c>
      <c r="BC59" s="118">
        <f t="shared" si="30"/>
        <v>23929.496041666942</v>
      </c>
      <c r="BD59" s="118">
        <f t="shared" si="30"/>
        <v>33392.213075000283</v>
      </c>
      <c r="BE59" s="118">
        <f t="shared" si="30"/>
        <v>30622.145508333626</v>
      </c>
      <c r="BF59" s="118">
        <f t="shared" si="30"/>
        <v>29580.656666666975</v>
      </c>
      <c r="BG59" s="118">
        <f t="shared" si="30"/>
        <v>38670.624700000313</v>
      </c>
      <c r="BH59" s="118">
        <f t="shared" si="30"/>
        <v>40344.633958333652</v>
      </c>
      <c r="BI59" s="118">
        <f t="shared" si="30"/>
        <v>41860.36086666699</v>
      </c>
    </row>
    <row r="60" spans="1:61" ht="15" customHeight="1" x14ac:dyDescent="0.35">
      <c r="B60" s="111"/>
      <c r="M60" s="112"/>
      <c r="N60" s="111"/>
      <c r="Y60" s="112"/>
      <c r="Z60" s="111"/>
      <c r="AK60" s="112"/>
      <c r="AL60" s="111"/>
      <c r="AW60" s="112"/>
      <c r="AX60" s="111"/>
      <c r="BI60" s="112"/>
    </row>
    <row r="61" spans="1:61" ht="15" customHeight="1" x14ac:dyDescent="0.35">
      <c r="A61" s="106" t="s">
        <v>273</v>
      </c>
      <c r="B61" s="111"/>
      <c r="M61" s="112"/>
      <c r="N61" s="111"/>
      <c r="Y61" s="112"/>
      <c r="Z61" s="111"/>
      <c r="AK61" s="112"/>
      <c r="AL61" s="111"/>
      <c r="AW61" s="112"/>
      <c r="AX61" s="111"/>
      <c r="BI61" s="112"/>
    </row>
    <row r="62" spans="1:61" ht="15" customHeight="1" x14ac:dyDescent="0.35">
      <c r="A62" t="s">
        <v>274</v>
      </c>
      <c r="B62" s="111">
        <v>0</v>
      </c>
      <c r="C62" s="111">
        <v>0</v>
      </c>
      <c r="D62" s="111">
        <v>10</v>
      </c>
      <c r="E62">
        <v>20</v>
      </c>
      <c r="F62">
        <v>10</v>
      </c>
      <c r="G62">
        <v>15</v>
      </c>
      <c r="H62">
        <v>25</v>
      </c>
      <c r="I62">
        <v>23</v>
      </c>
      <c r="J62">
        <v>25</v>
      </c>
      <c r="K62">
        <v>25</v>
      </c>
      <c r="L62">
        <v>0</v>
      </c>
      <c r="M62">
        <v>0</v>
      </c>
      <c r="N62" s="111">
        <v>22</v>
      </c>
      <c r="O62" s="111">
        <v>25</v>
      </c>
      <c r="P62" s="111">
        <v>30</v>
      </c>
      <c r="Q62" s="111">
        <v>30</v>
      </c>
      <c r="R62" s="111">
        <v>30</v>
      </c>
      <c r="S62" s="111">
        <v>30</v>
      </c>
      <c r="T62" s="111">
        <v>30</v>
      </c>
      <c r="U62" s="111">
        <v>30</v>
      </c>
      <c r="V62" s="111">
        <v>25</v>
      </c>
      <c r="W62" s="111">
        <v>25</v>
      </c>
      <c r="X62" s="111">
        <v>25</v>
      </c>
      <c r="Y62" s="111">
        <v>0</v>
      </c>
      <c r="Z62" s="111">
        <v>0</v>
      </c>
      <c r="AA62" s="111">
        <v>10</v>
      </c>
      <c r="AB62" s="111">
        <v>25</v>
      </c>
      <c r="AC62" s="111">
        <v>30</v>
      </c>
      <c r="AD62" s="111">
        <v>30</v>
      </c>
      <c r="AE62" s="111">
        <v>30</v>
      </c>
      <c r="AF62" s="111">
        <v>30</v>
      </c>
      <c r="AG62" s="111">
        <v>30</v>
      </c>
      <c r="AH62" s="111">
        <v>30</v>
      </c>
      <c r="AI62" s="111">
        <f t="shared" ref="AI62" si="31">W62</f>
        <v>25</v>
      </c>
      <c r="AJ62" s="111">
        <v>0</v>
      </c>
      <c r="AK62" s="111">
        <f t="shared" ref="AK62" si="32">Y62</f>
        <v>0</v>
      </c>
      <c r="AL62" s="115">
        <f>Z62</f>
        <v>0</v>
      </c>
      <c r="AM62" s="115">
        <f t="shared" ref="AM62:AW63" si="33">AA62</f>
        <v>10</v>
      </c>
      <c r="AN62" s="115">
        <f t="shared" si="33"/>
        <v>25</v>
      </c>
      <c r="AO62" s="115">
        <f t="shared" si="33"/>
        <v>30</v>
      </c>
      <c r="AP62" s="115">
        <f t="shared" si="33"/>
        <v>30</v>
      </c>
      <c r="AQ62" s="115">
        <f t="shared" si="33"/>
        <v>30</v>
      </c>
      <c r="AR62" s="115">
        <v>20</v>
      </c>
      <c r="AS62" s="115">
        <v>20</v>
      </c>
      <c r="AT62" s="115">
        <v>20</v>
      </c>
      <c r="AU62" s="115">
        <v>15</v>
      </c>
      <c r="AV62" s="115">
        <f t="shared" si="33"/>
        <v>0</v>
      </c>
      <c r="AW62" s="115">
        <f t="shared" si="33"/>
        <v>0</v>
      </c>
      <c r="AX62" s="115">
        <f>AL62</f>
        <v>0</v>
      </c>
      <c r="AY62" s="115">
        <f t="shared" ref="AY62:BI63" si="34">AM62</f>
        <v>10</v>
      </c>
      <c r="AZ62" s="115">
        <f t="shared" si="34"/>
        <v>25</v>
      </c>
      <c r="BA62" s="115">
        <f t="shared" si="34"/>
        <v>30</v>
      </c>
      <c r="BB62" s="115">
        <f t="shared" si="34"/>
        <v>30</v>
      </c>
      <c r="BC62" s="115">
        <f t="shared" si="34"/>
        <v>30</v>
      </c>
      <c r="BD62" s="115">
        <f t="shared" si="34"/>
        <v>20</v>
      </c>
      <c r="BE62" s="115">
        <f t="shared" si="34"/>
        <v>20</v>
      </c>
      <c r="BF62" s="115">
        <f t="shared" si="34"/>
        <v>20</v>
      </c>
      <c r="BG62" s="115">
        <f t="shared" si="34"/>
        <v>15</v>
      </c>
      <c r="BH62" s="115">
        <f t="shared" si="34"/>
        <v>0</v>
      </c>
      <c r="BI62" s="115">
        <f t="shared" si="34"/>
        <v>0</v>
      </c>
    </row>
    <row r="63" spans="1:61" ht="14.25" customHeight="1" x14ac:dyDescent="0.35">
      <c r="A63" t="s">
        <v>275</v>
      </c>
      <c r="B63" s="111">
        <v>0</v>
      </c>
      <c r="C63" s="111">
        <v>0</v>
      </c>
      <c r="D63" s="111">
        <v>0</v>
      </c>
      <c r="E63">
        <v>5</v>
      </c>
      <c r="F63">
        <v>14</v>
      </c>
      <c r="G63">
        <v>15</v>
      </c>
      <c r="H63">
        <v>20</v>
      </c>
      <c r="I63">
        <v>25</v>
      </c>
      <c r="J63">
        <v>25</v>
      </c>
      <c r="K63">
        <v>20</v>
      </c>
      <c r="L63">
        <v>10</v>
      </c>
      <c r="M63">
        <v>5</v>
      </c>
      <c r="N63" s="111">
        <v>10</v>
      </c>
      <c r="O63" s="111">
        <v>20</v>
      </c>
      <c r="P63" s="111">
        <v>25</v>
      </c>
      <c r="Q63" s="111">
        <v>25</v>
      </c>
      <c r="R63" s="111">
        <v>25</v>
      </c>
      <c r="S63" s="111">
        <v>25</v>
      </c>
      <c r="T63" s="111">
        <v>25</v>
      </c>
      <c r="U63" s="111">
        <v>25</v>
      </c>
      <c r="V63" s="111">
        <v>25</v>
      </c>
      <c r="W63" s="111">
        <v>25</v>
      </c>
      <c r="X63" s="111">
        <v>7</v>
      </c>
      <c r="Y63" s="111">
        <v>5</v>
      </c>
      <c r="Z63" s="111">
        <f>N63</f>
        <v>10</v>
      </c>
      <c r="AA63" s="111">
        <f t="shared" ref="AA63:AK63" si="35">O63</f>
        <v>20</v>
      </c>
      <c r="AB63" s="111">
        <f t="shared" si="35"/>
        <v>25</v>
      </c>
      <c r="AC63" s="111">
        <f t="shared" si="35"/>
        <v>25</v>
      </c>
      <c r="AD63" s="111">
        <f t="shared" si="35"/>
        <v>25</v>
      </c>
      <c r="AE63" s="111">
        <f t="shared" si="35"/>
        <v>25</v>
      </c>
      <c r="AF63" s="111">
        <f t="shared" si="35"/>
        <v>25</v>
      </c>
      <c r="AG63" s="111">
        <f t="shared" si="35"/>
        <v>25</v>
      </c>
      <c r="AH63" s="111">
        <f t="shared" si="35"/>
        <v>25</v>
      </c>
      <c r="AI63" s="111">
        <f t="shared" si="35"/>
        <v>25</v>
      </c>
      <c r="AJ63" s="111">
        <f t="shared" si="35"/>
        <v>7</v>
      </c>
      <c r="AK63" s="111">
        <f t="shared" si="35"/>
        <v>5</v>
      </c>
      <c r="AL63" s="115">
        <f>Z63</f>
        <v>10</v>
      </c>
      <c r="AM63" s="115">
        <v>15</v>
      </c>
      <c r="AN63" s="115">
        <v>20</v>
      </c>
      <c r="AO63" s="115">
        <v>20</v>
      </c>
      <c r="AP63" s="115">
        <v>20</v>
      </c>
      <c r="AQ63" s="115">
        <v>20</v>
      </c>
      <c r="AR63" s="115">
        <v>20</v>
      </c>
      <c r="AS63" s="115">
        <v>20</v>
      </c>
      <c r="AT63" s="115">
        <v>15</v>
      </c>
      <c r="AU63" s="115">
        <v>15</v>
      </c>
      <c r="AV63" s="115">
        <f t="shared" si="33"/>
        <v>7</v>
      </c>
      <c r="AW63" s="115">
        <f t="shared" si="33"/>
        <v>5</v>
      </c>
      <c r="AX63" s="115">
        <f>AL63</f>
        <v>10</v>
      </c>
      <c r="AY63" s="115">
        <f t="shared" si="34"/>
        <v>15</v>
      </c>
      <c r="AZ63" s="115">
        <f t="shared" si="34"/>
        <v>20</v>
      </c>
      <c r="BA63" s="115">
        <f t="shared" si="34"/>
        <v>20</v>
      </c>
      <c r="BB63" s="115">
        <f t="shared" si="34"/>
        <v>20</v>
      </c>
      <c r="BC63" s="115">
        <f t="shared" si="34"/>
        <v>20</v>
      </c>
      <c r="BD63" s="115">
        <f t="shared" si="34"/>
        <v>20</v>
      </c>
      <c r="BE63" s="115">
        <f t="shared" si="34"/>
        <v>20</v>
      </c>
      <c r="BF63" s="115">
        <f t="shared" si="34"/>
        <v>15</v>
      </c>
      <c r="BG63" s="115">
        <f t="shared" si="34"/>
        <v>15</v>
      </c>
      <c r="BH63" s="115">
        <f t="shared" si="34"/>
        <v>7</v>
      </c>
      <c r="BI63" s="115">
        <f t="shared" si="34"/>
        <v>5</v>
      </c>
    </row>
    <row r="64" spans="1:61" ht="14.25" customHeight="1" x14ac:dyDescent="0.35">
      <c r="A64" t="s">
        <v>276</v>
      </c>
      <c r="B64" s="111">
        <v>0</v>
      </c>
      <c r="C64" s="111">
        <v>0</v>
      </c>
      <c r="D64" s="111">
        <v>0</v>
      </c>
      <c r="E64" s="120">
        <f t="shared" ref="E64:BI64" si="36">D64+E62-E63</f>
        <v>15</v>
      </c>
      <c r="F64" s="120">
        <f t="shared" si="36"/>
        <v>11</v>
      </c>
      <c r="G64" s="120">
        <f t="shared" si="36"/>
        <v>11</v>
      </c>
      <c r="H64" s="120">
        <f t="shared" si="36"/>
        <v>16</v>
      </c>
      <c r="I64" s="120">
        <f t="shared" si="36"/>
        <v>14</v>
      </c>
      <c r="J64" s="120">
        <f t="shared" si="36"/>
        <v>14</v>
      </c>
      <c r="K64" s="120">
        <f t="shared" si="36"/>
        <v>19</v>
      </c>
      <c r="L64" s="120">
        <f t="shared" si="36"/>
        <v>9</v>
      </c>
      <c r="M64" s="121">
        <f t="shared" si="36"/>
        <v>4</v>
      </c>
      <c r="N64" s="121">
        <f t="shared" si="36"/>
        <v>16</v>
      </c>
      <c r="O64" s="121">
        <f t="shared" si="36"/>
        <v>21</v>
      </c>
      <c r="P64" s="121">
        <f t="shared" si="36"/>
        <v>26</v>
      </c>
      <c r="Q64" s="121">
        <f t="shared" si="36"/>
        <v>31</v>
      </c>
      <c r="R64" s="121">
        <f t="shared" si="36"/>
        <v>36</v>
      </c>
      <c r="S64" s="121">
        <f t="shared" si="36"/>
        <v>41</v>
      </c>
      <c r="T64" s="121">
        <f t="shared" si="36"/>
        <v>46</v>
      </c>
      <c r="U64" s="121">
        <f t="shared" si="36"/>
        <v>51</v>
      </c>
      <c r="V64" s="121">
        <f t="shared" si="36"/>
        <v>51</v>
      </c>
      <c r="W64" s="121">
        <f t="shared" si="36"/>
        <v>51</v>
      </c>
      <c r="X64" s="121">
        <f t="shared" si="36"/>
        <v>69</v>
      </c>
      <c r="Y64" s="121">
        <f t="shared" si="36"/>
        <v>64</v>
      </c>
      <c r="Z64" s="284">
        <f t="shared" si="36"/>
        <v>54</v>
      </c>
      <c r="AA64" s="284">
        <f t="shared" si="36"/>
        <v>44</v>
      </c>
      <c r="AB64" s="284">
        <f t="shared" si="36"/>
        <v>44</v>
      </c>
      <c r="AC64" s="284">
        <f t="shared" si="36"/>
        <v>49</v>
      </c>
      <c r="AD64" s="284">
        <f t="shared" si="36"/>
        <v>54</v>
      </c>
      <c r="AE64" s="284">
        <f t="shared" si="36"/>
        <v>59</v>
      </c>
      <c r="AF64" s="284">
        <f t="shared" si="36"/>
        <v>64</v>
      </c>
      <c r="AG64" s="284">
        <f t="shared" si="36"/>
        <v>69</v>
      </c>
      <c r="AH64" s="284">
        <f t="shared" si="36"/>
        <v>74</v>
      </c>
      <c r="AI64" s="284">
        <f t="shared" si="36"/>
        <v>74</v>
      </c>
      <c r="AJ64" s="284">
        <f t="shared" si="36"/>
        <v>67</v>
      </c>
      <c r="AK64" s="284">
        <f t="shared" si="36"/>
        <v>62</v>
      </c>
      <c r="AL64" s="284">
        <f t="shared" si="36"/>
        <v>52</v>
      </c>
      <c r="AM64" s="284">
        <f t="shared" si="36"/>
        <v>47</v>
      </c>
      <c r="AN64" s="284">
        <f t="shared" si="36"/>
        <v>52</v>
      </c>
      <c r="AO64" s="284">
        <f t="shared" si="36"/>
        <v>62</v>
      </c>
      <c r="AP64" s="284">
        <f t="shared" si="36"/>
        <v>72</v>
      </c>
      <c r="AQ64" s="284">
        <f t="shared" si="36"/>
        <v>82</v>
      </c>
      <c r="AR64" s="284">
        <f t="shared" si="36"/>
        <v>82</v>
      </c>
      <c r="AS64" s="284">
        <f t="shared" si="36"/>
        <v>82</v>
      </c>
      <c r="AT64" s="284">
        <f t="shared" si="36"/>
        <v>87</v>
      </c>
      <c r="AU64" s="284">
        <f t="shared" si="36"/>
        <v>87</v>
      </c>
      <c r="AV64" s="284">
        <f t="shared" si="36"/>
        <v>80</v>
      </c>
      <c r="AW64" s="284">
        <f t="shared" si="36"/>
        <v>75</v>
      </c>
      <c r="AX64" s="284">
        <f t="shared" si="36"/>
        <v>65</v>
      </c>
      <c r="AY64" s="284">
        <f t="shared" si="36"/>
        <v>60</v>
      </c>
      <c r="AZ64" s="284">
        <f t="shared" si="36"/>
        <v>65</v>
      </c>
      <c r="BA64" s="284">
        <f t="shared" si="36"/>
        <v>75</v>
      </c>
      <c r="BB64" s="284">
        <f t="shared" si="36"/>
        <v>85</v>
      </c>
      <c r="BC64" s="284">
        <f t="shared" si="36"/>
        <v>95</v>
      </c>
      <c r="BD64" s="284">
        <f t="shared" si="36"/>
        <v>95</v>
      </c>
      <c r="BE64" s="284">
        <f t="shared" si="36"/>
        <v>95</v>
      </c>
      <c r="BF64" s="284">
        <f t="shared" si="36"/>
        <v>100</v>
      </c>
      <c r="BG64" s="284">
        <f t="shared" si="36"/>
        <v>100</v>
      </c>
      <c r="BH64" s="284">
        <f t="shared" si="36"/>
        <v>93</v>
      </c>
      <c r="BI64" s="284">
        <f t="shared" si="36"/>
        <v>88</v>
      </c>
    </row>
    <row r="65" spans="1:61" ht="15" customHeight="1" x14ac:dyDescent="0.35">
      <c r="L65" s="122" t="s">
        <v>282</v>
      </c>
      <c r="M65">
        <f>SUM(B62:M62)</f>
        <v>153</v>
      </c>
      <c r="X65" s="122" t="s">
        <v>282</v>
      </c>
      <c r="Y65">
        <f>SUM(N62:Y62)</f>
        <v>302</v>
      </c>
      <c r="AJ65" s="122" t="s">
        <v>282</v>
      </c>
      <c r="AK65">
        <f>SUM(Z62:AK62)</f>
        <v>240</v>
      </c>
      <c r="AV65" s="122" t="s">
        <v>282</v>
      </c>
      <c r="AW65">
        <f>SUM(AL62:AW62)</f>
        <v>200</v>
      </c>
      <c r="BH65" s="122" t="s">
        <v>282</v>
      </c>
      <c r="BI65">
        <f>SUM(AX62:BI62)</f>
        <v>200</v>
      </c>
    </row>
    <row r="66" spans="1:61" ht="14.25" customHeight="1" x14ac:dyDescent="0.35">
      <c r="L66" s="122" t="s">
        <v>283</v>
      </c>
      <c r="M66">
        <f>SUM(B63:M63)</f>
        <v>139</v>
      </c>
      <c r="X66" s="122" t="s">
        <v>283</v>
      </c>
      <c r="Y66">
        <f>SUM(N63:Y63)</f>
        <v>242</v>
      </c>
      <c r="AJ66" s="122" t="s">
        <v>283</v>
      </c>
      <c r="AK66">
        <f>SUM(Z63:AK63)</f>
        <v>242</v>
      </c>
      <c r="AV66" s="122" t="s">
        <v>283</v>
      </c>
      <c r="AW66">
        <f>SUM(AL63:AW63)</f>
        <v>187</v>
      </c>
      <c r="BH66" s="122" t="s">
        <v>283</v>
      </c>
      <c r="BI66">
        <f>SUM(AX63:BI63)</f>
        <v>187</v>
      </c>
    </row>
    <row r="67" spans="1:61" ht="15" customHeight="1" x14ac:dyDescent="0.35">
      <c r="A67" s="86" t="s">
        <v>284</v>
      </c>
      <c r="L67" t="s">
        <v>285</v>
      </c>
      <c r="M67" s="47">
        <f>SUM(B42:M42)</f>
        <v>357519.58333333337</v>
      </c>
      <c r="X67" t="s">
        <v>285</v>
      </c>
      <c r="Y67" s="47">
        <f>SUM(N42:Y42)</f>
        <v>622444.16666666663</v>
      </c>
      <c r="AJ67" t="s">
        <v>285</v>
      </c>
      <c r="AK67" s="47">
        <f>SUM(Z42:AK42)</f>
        <v>622444.16666666663</v>
      </c>
      <c r="AV67" t="s">
        <v>285</v>
      </c>
      <c r="AW67" s="47">
        <f>SUM(AL42:AW42)</f>
        <v>480979.58333333343</v>
      </c>
      <c r="BH67" t="s">
        <v>285</v>
      </c>
      <c r="BI67" s="47">
        <f>SUM(AX42:BI42)</f>
        <v>505028.56250000006</v>
      </c>
    </row>
    <row r="68" spans="1:61" ht="15" customHeight="1" x14ac:dyDescent="0.35">
      <c r="L68" t="s">
        <v>286</v>
      </c>
      <c r="M68" s="47">
        <f>SUM(B58:M58)</f>
        <v>-77774.254008333315</v>
      </c>
      <c r="X68" t="s">
        <v>286</v>
      </c>
      <c r="Y68" s="47">
        <f>SUM(N58:Y58)</f>
        <v>-44997.571716666644</v>
      </c>
      <c r="AJ68" t="s">
        <v>286</v>
      </c>
      <c r="AK68" s="47">
        <f>SUM(Z58:AK58)</f>
        <v>29781.333533333378</v>
      </c>
      <c r="AV68" t="s">
        <v>286</v>
      </c>
      <c r="AW68" s="47">
        <f>SUM(AL58:AW58)</f>
        <v>-21960.92063333328</v>
      </c>
      <c r="BH68" t="s">
        <v>286</v>
      </c>
      <c r="BI68" s="47">
        <f>SUM(AX58:BI58)</f>
        <v>21955.007925000093</v>
      </c>
    </row>
    <row r="69" spans="1:61" ht="15" customHeight="1" x14ac:dyDescent="0.35">
      <c r="A69" s="33" t="s">
        <v>287</v>
      </c>
    </row>
    <row r="70" spans="1:61" ht="15" customHeight="1" x14ac:dyDescent="0.35">
      <c r="A70" t="s">
        <v>288</v>
      </c>
    </row>
    <row r="71" spans="1:61" ht="15" customHeight="1" x14ac:dyDescent="0.35">
      <c r="A71" t="s">
        <v>289</v>
      </c>
    </row>
    <row r="72" spans="1:61" ht="15" customHeight="1" x14ac:dyDescent="0.35">
      <c r="A72" t="s">
        <v>463</v>
      </c>
    </row>
    <row r="73" spans="1:61" ht="15" customHeight="1" x14ac:dyDescent="0.35"/>
    <row r="75" spans="1:61" ht="15" customHeight="1" x14ac:dyDescent="0.35">
      <c r="A75" t="s">
        <v>464</v>
      </c>
    </row>
    <row r="76" spans="1:61" ht="15" customHeight="1" x14ac:dyDescent="0.35"/>
    <row r="77" spans="1:61" ht="15" customHeight="1" x14ac:dyDescent="0.35">
      <c r="A77" s="123" t="s">
        <v>290</v>
      </c>
      <c r="B77" s="124">
        <f>MIN(E30:N30,B59:M59)</f>
        <v>43504.286375000083</v>
      </c>
    </row>
    <row r="78" spans="1:61" ht="14.25" customHeight="1" x14ac:dyDescent="0.35">
      <c r="A78" t="s">
        <v>291</v>
      </c>
      <c r="B78" s="124">
        <f>N30</f>
        <v>134856.76576666671</v>
      </c>
    </row>
    <row r="79" spans="1:61" ht="15" customHeight="1" x14ac:dyDescent="0.35">
      <c r="A79" t="s">
        <v>292</v>
      </c>
      <c r="B79" s="124">
        <f>M59</f>
        <v>57082.511758333436</v>
      </c>
    </row>
    <row r="81" spans="1:1" ht="14.25" customHeight="1" x14ac:dyDescent="0.35">
      <c r="A81" s="85"/>
    </row>
    <row r="82" spans="1:1" ht="15" customHeight="1" x14ac:dyDescent="0.35"/>
    <row r="83" spans="1:1" x14ac:dyDescent="0.35">
      <c r="A83" s="33"/>
    </row>
    <row r="84" spans="1:1" ht="15" customHeight="1" x14ac:dyDescent="0.35"/>
    <row r="85" spans="1:1" ht="15" customHeight="1" x14ac:dyDescent="0.35">
      <c r="A85" t="s">
        <v>293</v>
      </c>
    </row>
    <row r="86" spans="1:1" ht="15" customHeight="1" x14ac:dyDescent="0.35"/>
    <row r="87" spans="1:1" ht="15" customHeight="1" x14ac:dyDescent="0.35"/>
    <row r="88" spans="1:1" ht="15" customHeight="1" x14ac:dyDescent="0.35">
      <c r="A88" t="s">
        <v>294</v>
      </c>
    </row>
    <row r="89" spans="1:1" ht="15" customHeight="1" x14ac:dyDescent="0.35">
      <c r="A89" t="s">
        <v>295</v>
      </c>
    </row>
    <row r="90" spans="1:1" ht="15" customHeight="1" x14ac:dyDescent="0.35">
      <c r="A90" t="s">
        <v>296</v>
      </c>
    </row>
    <row r="91" spans="1:1" ht="14.25" customHeight="1" x14ac:dyDescent="0.35">
      <c r="A91" t="s">
        <v>297</v>
      </c>
    </row>
    <row r="92" spans="1:1" ht="15" customHeight="1" x14ac:dyDescent="0.35">
      <c r="A92" t="s">
        <v>298</v>
      </c>
    </row>
    <row r="93" spans="1:1" ht="15" customHeight="1" x14ac:dyDescent="0.35"/>
    <row r="94" spans="1:1" ht="15" customHeight="1" x14ac:dyDescent="0.35"/>
    <row r="95" spans="1:1" ht="15" customHeight="1" x14ac:dyDescent="0.35"/>
    <row r="96" spans="1:1" ht="26" customHeight="1" x14ac:dyDescent="0.35"/>
    <row r="97" ht="15" customHeight="1" x14ac:dyDescent="0.35"/>
    <row r="98" ht="15" customHeight="1" x14ac:dyDescent="0.35"/>
    <row r="99" ht="14.25" customHeight="1" x14ac:dyDescent="0.35"/>
    <row r="100" ht="14.25" customHeight="1" x14ac:dyDescent="0.35"/>
    <row r="101" ht="14.25" customHeight="1" x14ac:dyDescent="0.35"/>
    <row r="102"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sheetData>
  <mergeCells count="5">
    <mergeCell ref="B37:M37"/>
    <mergeCell ref="N37:Y37"/>
    <mergeCell ref="Z37:AK37"/>
    <mergeCell ref="AL37:AW37"/>
    <mergeCell ref="AX37:BI37"/>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H49"/>
  <sheetViews>
    <sheetView zoomScale="80" zoomScaleNormal="80" workbookViewId="0">
      <selection activeCell="M43" sqref="M43"/>
    </sheetView>
  </sheetViews>
  <sheetFormatPr baseColWidth="10" defaultColWidth="8.6328125" defaultRowHeight="14.5" x14ac:dyDescent="0.35"/>
  <cols>
    <col min="1" max="1" width="50" customWidth="1"/>
    <col min="2" max="2" width="14" customWidth="1"/>
    <col min="3" max="3" width="21.54296875" customWidth="1"/>
    <col min="4" max="8" width="14" customWidth="1"/>
  </cols>
  <sheetData>
    <row r="1" spans="1:8" ht="19.5" customHeight="1" x14ac:dyDescent="0.4">
      <c r="A1" s="471" t="s">
        <v>388</v>
      </c>
      <c r="B1" s="471"/>
      <c r="C1" s="471"/>
      <c r="D1" s="471"/>
      <c r="E1" s="471"/>
      <c r="F1" s="471"/>
      <c r="G1" s="471"/>
      <c r="H1" s="471"/>
    </row>
    <row r="2" spans="1:8" ht="15" customHeight="1" x14ac:dyDescent="0.35">
      <c r="A2" s="41" t="s">
        <v>389</v>
      </c>
    </row>
    <row r="4" spans="1:8" ht="15" customHeight="1" x14ac:dyDescent="0.35">
      <c r="A4" s="468" t="s">
        <v>300</v>
      </c>
      <c r="B4" s="468"/>
      <c r="C4" s="468"/>
    </row>
    <row r="5" spans="1:8" ht="15" customHeight="1" x14ac:dyDescent="0.35">
      <c r="A5" s="38" t="s">
        <v>390</v>
      </c>
      <c r="B5" s="152">
        <f>'Seuil Rentabilité'!B8</f>
        <v>1079.7808333333332</v>
      </c>
    </row>
    <row r="6" spans="1:8" ht="15" customHeight="1" x14ac:dyDescent="0.35">
      <c r="A6" s="38" t="s">
        <v>305</v>
      </c>
      <c r="B6" s="152">
        <f>'Seuil Rentabilité'!B6</f>
        <v>1048.7925</v>
      </c>
    </row>
    <row r="7" spans="1:8" ht="15" customHeight="1" x14ac:dyDescent="0.35">
      <c r="A7" s="38" t="s">
        <v>391</v>
      </c>
      <c r="B7" s="127">
        <v>0.5</v>
      </c>
    </row>
    <row r="8" spans="1:8" ht="15" customHeight="1" x14ac:dyDescent="0.35">
      <c r="A8" s="38" t="s">
        <v>392</v>
      </c>
      <c r="B8" s="58">
        <f>'Charges Fixes Plume'!D57</f>
        <v>208782.334</v>
      </c>
    </row>
    <row r="9" spans="1:8" ht="15" customHeight="1" x14ac:dyDescent="0.35">
      <c r="A9" s="38" t="s">
        <v>267</v>
      </c>
      <c r="B9" s="58">
        <f>'Emprunt Bancaire'!D11</f>
        <v>52398.709999999985</v>
      </c>
    </row>
    <row r="10" spans="1:8" ht="15" customHeight="1" x14ac:dyDescent="0.35">
      <c r="A10" s="38" t="s">
        <v>393</v>
      </c>
      <c r="B10" s="158">
        <f>B5-B7*B6</f>
        <v>555.38458333333324</v>
      </c>
    </row>
    <row r="12" spans="1:8" ht="15" customHeight="1" x14ac:dyDescent="0.35">
      <c r="A12" s="472" t="s">
        <v>394</v>
      </c>
      <c r="B12" s="472"/>
      <c r="C12" s="472"/>
      <c r="D12" s="472"/>
      <c r="E12" s="472"/>
      <c r="F12" s="472"/>
      <c r="G12" s="472"/>
      <c r="H12" s="472"/>
    </row>
    <row r="13" spans="1:8" ht="15" customHeight="1" x14ac:dyDescent="0.35">
      <c r="A13" s="88" t="s">
        <v>140</v>
      </c>
      <c r="B13" s="57">
        <v>2025</v>
      </c>
      <c r="C13" s="57">
        <v>2026</v>
      </c>
      <c r="D13" s="57">
        <v>2027</v>
      </c>
      <c r="E13" s="57">
        <v>2028</v>
      </c>
      <c r="F13" s="57">
        <v>2029</v>
      </c>
      <c r="G13" s="57">
        <v>2030</v>
      </c>
      <c r="H13" s="57">
        <v>2031</v>
      </c>
    </row>
    <row r="14" spans="1:8" ht="15" customHeight="1" x14ac:dyDescent="0.35">
      <c r="A14" s="38" t="s">
        <v>329</v>
      </c>
      <c r="B14" s="98">
        <f>'Plan Trésorerie Mensuel'!B13</f>
        <v>100000</v>
      </c>
      <c r="C14" s="159">
        <f>SUM('Plan Trésorerie Mensuel'!C8:N9)</f>
        <v>278000</v>
      </c>
      <c r="D14" s="98">
        <v>50000</v>
      </c>
      <c r="E14" s="159">
        <v>0</v>
      </c>
      <c r="F14" s="159">
        <v>0</v>
      </c>
      <c r="G14" s="159">
        <v>0</v>
      </c>
      <c r="H14" s="159">
        <v>0</v>
      </c>
    </row>
    <row r="15" spans="1:8" ht="14.25" customHeight="1" x14ac:dyDescent="0.35">
      <c r="A15" s="160" t="s">
        <v>395</v>
      </c>
      <c r="B15" s="161">
        <v>10000</v>
      </c>
      <c r="C15" s="161">
        <f>'Charges Fixes Plume'!$D$57</f>
        <v>208782.334</v>
      </c>
      <c r="D15" s="161">
        <f>'Charges Fixes Plume'!$D$57</f>
        <v>208782.334</v>
      </c>
      <c r="E15" s="161">
        <f>'Charges Fixes Plume'!$D$57</f>
        <v>208782.334</v>
      </c>
      <c r="F15" s="161">
        <f>'Charges Fixes Plume'!$D$57</f>
        <v>208782.334</v>
      </c>
      <c r="G15" s="161">
        <f>'Charges Fixes Plume'!$D$57</f>
        <v>208782.334</v>
      </c>
      <c r="H15" s="161">
        <f>'Charges Fixes Plume'!$D$57</f>
        <v>208782.334</v>
      </c>
    </row>
    <row r="16" spans="1:8" ht="15" customHeight="1" x14ac:dyDescent="0.35">
      <c r="A16" s="160" t="s">
        <v>396</v>
      </c>
      <c r="B16" s="161">
        <f>'Seuil Rentabilité'!B16</f>
        <v>0</v>
      </c>
      <c r="C16" s="161">
        <f>'Seuil Rentabilité'!C16</f>
        <v>5742.63</v>
      </c>
      <c r="D16" s="161">
        <f>'Seuil Rentabilité'!D16</f>
        <v>6941.91</v>
      </c>
      <c r="E16" s="161">
        <f>'Seuil Rentabilité'!E16</f>
        <v>4853.6400000000003</v>
      </c>
      <c r="F16" s="161">
        <f>'Seuil Rentabilité'!F16</f>
        <v>2669.42</v>
      </c>
      <c r="G16" s="161">
        <f>'Seuil Rentabilité'!G16</f>
        <v>387.22</v>
      </c>
      <c r="H16" s="161">
        <f>'Seuil Rentabilité'!H16</f>
        <v>0</v>
      </c>
    </row>
    <row r="17" spans="1:8" ht="17.25" customHeight="1" x14ac:dyDescent="0.35">
      <c r="A17" s="162" t="s">
        <v>397</v>
      </c>
      <c r="B17" s="163">
        <f t="shared" ref="B17:H17" si="0">SUM(B15:B16)</f>
        <v>10000</v>
      </c>
      <c r="C17" s="163">
        <f t="shared" si="0"/>
        <v>214524.96400000001</v>
      </c>
      <c r="D17" s="163">
        <f t="shared" si="0"/>
        <v>215724.24400000001</v>
      </c>
      <c r="E17" s="163">
        <f t="shared" si="0"/>
        <v>213635.97400000002</v>
      </c>
      <c r="F17" s="163">
        <f t="shared" si="0"/>
        <v>211451.75400000002</v>
      </c>
      <c r="G17" s="163">
        <f t="shared" si="0"/>
        <v>209169.554</v>
      </c>
      <c r="H17" s="163">
        <f t="shared" si="0"/>
        <v>208782.334</v>
      </c>
    </row>
    <row r="19" spans="1:8" ht="15" customHeight="1" x14ac:dyDescent="0.35">
      <c r="A19" s="164" t="s">
        <v>398</v>
      </c>
      <c r="B19" s="165">
        <v>0</v>
      </c>
      <c r="C19" s="165">
        <v>0</v>
      </c>
      <c r="D19" s="165">
        <f>'point mort mensuel'!M66</f>
        <v>139</v>
      </c>
      <c r="E19" s="165">
        <f>'point mort mensuel'!Y66</f>
        <v>242</v>
      </c>
      <c r="F19" s="165">
        <f>'point mort mensuel'!AK66</f>
        <v>242</v>
      </c>
      <c r="G19" s="165">
        <f>'point mort mensuel'!AW66</f>
        <v>187</v>
      </c>
      <c r="H19" s="165">
        <f>'point mort mensuel'!BI66</f>
        <v>187</v>
      </c>
    </row>
    <row r="20" spans="1:8" ht="15" customHeight="1" x14ac:dyDescent="0.35">
      <c r="A20" s="38"/>
      <c r="B20" s="136"/>
      <c r="C20" s="136"/>
      <c r="D20" s="136"/>
      <c r="E20" s="136"/>
      <c r="F20" s="136"/>
      <c r="G20" s="136"/>
      <c r="H20" s="136"/>
    </row>
    <row r="21" spans="1:8" ht="15" customHeight="1" x14ac:dyDescent="0.35">
      <c r="A21" s="160" t="s">
        <v>399</v>
      </c>
      <c r="B21" s="161">
        <v>0</v>
      </c>
      <c r="C21" s="161">
        <v>0</v>
      </c>
      <c r="D21" s="161">
        <f>'Marges Produits'!$D$49*D19</f>
        <v>152949.69249999998</v>
      </c>
      <c r="E21" s="161">
        <f>'Marges Produits'!$D$49*E19</f>
        <v>266286.51499999996</v>
      </c>
      <c r="F21" s="161">
        <f>'Marges Produits'!$D$49*F19</f>
        <v>266286.51499999996</v>
      </c>
      <c r="G21" s="161">
        <f>'Marges Produits'!$D$49*G19</f>
        <v>205766.85249999998</v>
      </c>
      <c r="H21" s="161">
        <f>'Marges Produits'!$D$49*H19</f>
        <v>205766.85249999998</v>
      </c>
    </row>
    <row r="22" spans="1:8" ht="15" customHeight="1" x14ac:dyDescent="0.35">
      <c r="A22" s="160" t="s">
        <v>400</v>
      </c>
      <c r="B22" s="161">
        <v>0</v>
      </c>
      <c r="C22" s="161">
        <v>0</v>
      </c>
      <c r="D22" s="161">
        <f>'point mort mensuel'!M64*'Analyse Point Mort'!B6</f>
        <v>4195.17</v>
      </c>
      <c r="E22" s="161">
        <f>'point mort mensuel'!Y64*'Analyse Point Mort'!B6</f>
        <v>67122.720000000001</v>
      </c>
      <c r="F22" s="161">
        <f>B6*'point mort mensuel'!AK64</f>
        <v>65025.135000000002</v>
      </c>
      <c r="G22" s="161">
        <f>B6*'point mort mensuel'!AW64</f>
        <v>78659.4375</v>
      </c>
      <c r="H22" s="161">
        <f>B6*'point mort mensuel'!BI64</f>
        <v>92293.74</v>
      </c>
    </row>
    <row r="23" spans="1:8" ht="15" customHeight="1" x14ac:dyDescent="0.35">
      <c r="A23" s="160" t="s">
        <v>401</v>
      </c>
      <c r="B23" s="161">
        <v>0</v>
      </c>
      <c r="C23" s="161">
        <v>0</v>
      </c>
      <c r="D23" s="161">
        <f>D22-C22</f>
        <v>4195.17</v>
      </c>
      <c r="E23" s="161">
        <f t="shared" ref="E23:H23" si="1">E22-D22</f>
        <v>62927.55</v>
      </c>
      <c r="F23" s="161">
        <f t="shared" si="1"/>
        <v>-2097.5849999999991</v>
      </c>
      <c r="G23" s="161">
        <f t="shared" si="1"/>
        <v>13634.302499999998</v>
      </c>
      <c r="H23" s="161">
        <f t="shared" si="1"/>
        <v>13634.302500000005</v>
      </c>
    </row>
    <row r="24" spans="1:8" ht="17.25" customHeight="1" x14ac:dyDescent="0.35">
      <c r="A24" s="132"/>
      <c r="B24" s="138"/>
      <c r="C24" s="138"/>
      <c r="D24" s="138"/>
      <c r="E24" s="138"/>
      <c r="F24" s="138"/>
      <c r="G24" s="138"/>
      <c r="H24" s="138"/>
    </row>
    <row r="25" spans="1:8" ht="14.25" customHeight="1" x14ac:dyDescent="0.35">
      <c r="A25" s="166" t="s">
        <v>402</v>
      </c>
      <c r="B25" s="167">
        <f>'point mort mensuel'!B29</f>
        <v>91142.144166666665</v>
      </c>
      <c r="C25" s="167">
        <f>SUM('point mort mensuel'!C29:N29)</f>
        <v>43714.621600000035</v>
      </c>
      <c r="D25" s="167">
        <f>SUM('point mort mensuel'!B58:M58)</f>
        <v>-77774.254008333315</v>
      </c>
      <c r="E25" s="167">
        <f>SUM('point mort mensuel'!N58:Y58)</f>
        <v>-44997.571716666644</v>
      </c>
      <c r="F25" s="167">
        <f>SUM('point mort mensuel'!Z58:AK58)</f>
        <v>29781.333533333378</v>
      </c>
      <c r="G25" s="167">
        <f>SUM('point mort mensuel'!AL58:AW58)</f>
        <v>-21960.92063333328</v>
      </c>
      <c r="H25" s="167">
        <f>SUM('point mort mensuel'!AX58:BI58)</f>
        <v>21955.007925000093</v>
      </c>
    </row>
    <row r="26" spans="1:8" ht="15" customHeight="1" x14ac:dyDescent="0.35">
      <c r="A26" s="168" t="s">
        <v>403</v>
      </c>
      <c r="B26" s="169">
        <f>'point mort mensuel'!B30</f>
        <v>91142.144166666665</v>
      </c>
      <c r="C26" s="169">
        <f>'point mort mensuel'!N30</f>
        <v>134856.76576666671</v>
      </c>
      <c r="D26" s="169">
        <f>'point mort mensuel'!M59</f>
        <v>57082.511758333436</v>
      </c>
      <c r="E26" s="169">
        <f>'point mort mensuel'!Y59</f>
        <v>12084.940041666796</v>
      </c>
      <c r="F26" s="169">
        <f>'point mort mensuel'!AK59</f>
        <v>41866.273575000174</v>
      </c>
      <c r="G26" s="169">
        <f>'point mort mensuel'!AW59</f>
        <v>19905.352941666893</v>
      </c>
      <c r="H26" s="169">
        <f>'point mort mensuel'!BI59</f>
        <v>41860.36086666699</v>
      </c>
    </row>
    <row r="27" spans="1:8" ht="15" customHeight="1" x14ac:dyDescent="0.35"/>
    <row r="28" spans="1:8" ht="15" customHeight="1" x14ac:dyDescent="0.35">
      <c r="A28" s="473" t="s">
        <v>404</v>
      </c>
      <c r="B28" s="473"/>
      <c r="C28" s="473"/>
      <c r="D28" s="473"/>
      <c r="E28" s="473"/>
      <c r="F28" s="473"/>
      <c r="G28" s="473"/>
      <c r="H28" s="473"/>
    </row>
    <row r="29" spans="1:8" ht="15" customHeight="1" x14ac:dyDescent="0.35">
      <c r="A29" s="160" t="s">
        <v>405</v>
      </c>
      <c r="B29" s="170">
        <f>'Seuil Rentabilité'!B24</f>
        <v>8</v>
      </c>
      <c r="C29" s="170">
        <f>'Seuil Rentabilité'!C24</f>
        <v>194</v>
      </c>
      <c r="D29" s="170">
        <f>'Seuil Rentabilité'!D24</f>
        <v>204</v>
      </c>
      <c r="E29" s="170">
        <f>'Seuil Rentabilité'!E24</f>
        <v>196</v>
      </c>
      <c r="F29" s="170">
        <f>'Seuil Rentabilité'!F24</f>
        <v>320</v>
      </c>
      <c r="G29" s="170">
        <f>'Seuil Rentabilité'!G24</f>
        <v>318</v>
      </c>
      <c r="H29" s="170">
        <f>'Seuil Rentabilité'!H24</f>
        <v>318</v>
      </c>
    </row>
    <row r="30" spans="1:8" ht="15" customHeight="1" x14ac:dyDescent="0.35">
      <c r="A30" s="160" t="s">
        <v>406</v>
      </c>
      <c r="B30" s="170">
        <f>B19-B29</f>
        <v>-8</v>
      </c>
      <c r="C30" s="170">
        <f t="shared" ref="C30:H30" si="2">C19-C29</f>
        <v>-194</v>
      </c>
      <c r="D30" s="170">
        <f t="shared" si="2"/>
        <v>-65</v>
      </c>
      <c r="E30" s="170">
        <f t="shared" si="2"/>
        <v>46</v>
      </c>
      <c r="F30" s="170">
        <f t="shared" si="2"/>
        <v>-78</v>
      </c>
      <c r="G30" s="170">
        <f t="shared" si="2"/>
        <v>-131</v>
      </c>
      <c r="H30" s="170">
        <f t="shared" si="2"/>
        <v>-131</v>
      </c>
    </row>
    <row r="32" spans="1:8" ht="14.25" customHeight="1" x14ac:dyDescent="0.35">
      <c r="A32" s="473" t="s">
        <v>407</v>
      </c>
      <c r="B32" s="473"/>
      <c r="C32" s="473"/>
    </row>
    <row r="33" spans="1:2" ht="14.25" customHeight="1" x14ac:dyDescent="0.35">
      <c r="A33" s="160" t="s">
        <v>408</v>
      </c>
      <c r="B33" s="171">
        <f>SUM(B19:H19)</f>
        <v>997</v>
      </c>
    </row>
    <row r="34" spans="1:2" ht="14.25" customHeight="1" x14ac:dyDescent="0.35">
      <c r="A34" s="160" t="s">
        <v>409</v>
      </c>
      <c r="B34" s="172">
        <f>AVERAGE(C19:H19)</f>
        <v>166.16666666666666</v>
      </c>
    </row>
    <row r="35" spans="1:2" ht="14.25" customHeight="1" x14ac:dyDescent="0.35">
      <c r="A35" s="160" t="s">
        <v>471</v>
      </c>
      <c r="B35" s="173">
        <f>MIN('point mort mensuel'!B59:BI59)</f>
        <v>1432.7887583334777</v>
      </c>
    </row>
    <row r="36" spans="1:2" ht="14.25" customHeight="1" x14ac:dyDescent="0.35"/>
    <row r="37" spans="1:2" x14ac:dyDescent="0.35">
      <c r="A37" s="174" t="s">
        <v>410</v>
      </c>
    </row>
    <row r="38" spans="1:2" ht="14.25" customHeight="1" x14ac:dyDescent="0.35">
      <c r="A38" s="175" t="s">
        <v>411</v>
      </c>
    </row>
    <row r="39" spans="1:2" ht="14.25" customHeight="1" x14ac:dyDescent="0.35">
      <c r="A39" s="175" t="s">
        <v>412</v>
      </c>
    </row>
    <row r="40" spans="1:2" ht="14.25" customHeight="1" x14ac:dyDescent="0.35">
      <c r="A40" s="175" t="s">
        <v>469</v>
      </c>
    </row>
    <row r="41" spans="1:2" ht="14.25" customHeight="1" x14ac:dyDescent="0.35">
      <c r="A41" s="175" t="s">
        <v>470</v>
      </c>
    </row>
    <row r="42" spans="1:2" ht="14.25" customHeight="1" x14ac:dyDescent="0.35"/>
    <row r="43" spans="1:2" x14ac:dyDescent="0.35">
      <c r="A43" s="174" t="s">
        <v>413</v>
      </c>
    </row>
    <row r="44" spans="1:2" ht="14.25" customHeight="1" x14ac:dyDescent="0.35">
      <c r="A44" s="175" t="s">
        <v>414</v>
      </c>
    </row>
    <row r="45" spans="1:2" ht="14.25" customHeight="1" x14ac:dyDescent="0.35">
      <c r="A45" s="175" t="s">
        <v>415</v>
      </c>
    </row>
    <row r="46" spans="1:2" ht="14.25" customHeight="1" x14ac:dyDescent="0.35">
      <c r="A46" s="175" t="s">
        <v>416</v>
      </c>
    </row>
    <row r="47" spans="1:2" ht="14.25" customHeight="1" x14ac:dyDescent="0.35">
      <c r="A47" s="175"/>
    </row>
    <row r="48" spans="1:2" ht="14.25" customHeight="1" x14ac:dyDescent="0.35">
      <c r="A48" s="175" t="s">
        <v>417</v>
      </c>
    </row>
    <row r="49" ht="14.25" customHeight="1" x14ac:dyDescent="0.35"/>
  </sheetData>
  <mergeCells count="5">
    <mergeCell ref="A1:H1"/>
    <mergeCell ref="A4:C4"/>
    <mergeCell ref="A12:H12"/>
    <mergeCell ref="A28:H28"/>
    <mergeCell ref="A32:C32"/>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4E13-4A33-4CA3-83A0-E8489AF2ECCA}">
  <dimension ref="A1:D20"/>
  <sheetViews>
    <sheetView workbookViewId="0">
      <selection activeCell="H15" sqref="H15"/>
    </sheetView>
  </sheetViews>
  <sheetFormatPr baseColWidth="10" defaultRowHeight="14.5" x14ac:dyDescent="0.35"/>
  <cols>
    <col min="1" max="1" width="36.1796875" bestFit="1" customWidth="1"/>
    <col min="2" max="2" width="23.7265625" bestFit="1" customWidth="1"/>
    <col min="3" max="3" width="17.08984375" bestFit="1" customWidth="1"/>
    <col min="4" max="4" width="47.1796875" customWidth="1"/>
  </cols>
  <sheetData>
    <row r="1" spans="1:4" ht="18" x14ac:dyDescent="0.4">
      <c r="A1" s="474" t="s">
        <v>542</v>
      </c>
      <c r="B1" s="474"/>
      <c r="C1" s="474"/>
      <c r="D1" s="474"/>
    </row>
    <row r="3" spans="1:4" ht="15.5" x14ac:dyDescent="0.35">
      <c r="A3" s="475" t="s">
        <v>543</v>
      </c>
      <c r="B3" s="475"/>
      <c r="C3" s="475"/>
      <c r="D3" s="475"/>
    </row>
    <row r="4" spans="1:4" x14ac:dyDescent="0.35">
      <c r="A4" s="349" t="s">
        <v>544</v>
      </c>
      <c r="B4" s="350" t="s">
        <v>545</v>
      </c>
      <c r="C4" s="350" t="s">
        <v>546</v>
      </c>
      <c r="D4" s="350" t="s">
        <v>514</v>
      </c>
    </row>
    <row r="5" spans="1:4" ht="24" customHeight="1" x14ac:dyDescent="0.35">
      <c r="A5" s="351" t="s">
        <v>547</v>
      </c>
      <c r="B5" s="352" t="s">
        <v>548</v>
      </c>
      <c r="C5" s="352" t="s">
        <v>549</v>
      </c>
      <c r="D5" s="353" t="s">
        <v>550</v>
      </c>
    </row>
    <row r="6" spans="1:4" ht="32" customHeight="1" x14ac:dyDescent="0.35">
      <c r="A6" s="351" t="s">
        <v>551</v>
      </c>
      <c r="B6" s="352" t="s">
        <v>552</v>
      </c>
      <c r="C6" s="352" t="s">
        <v>549</v>
      </c>
      <c r="D6" s="353" t="s">
        <v>553</v>
      </c>
    </row>
    <row r="7" spans="1:4" ht="39" customHeight="1" x14ac:dyDescent="0.35">
      <c r="A7" s="351" t="s">
        <v>554</v>
      </c>
      <c r="B7" s="348" t="s">
        <v>555</v>
      </c>
      <c r="C7" s="354" t="s">
        <v>556</v>
      </c>
      <c r="D7" s="355" t="s">
        <v>557</v>
      </c>
    </row>
    <row r="8" spans="1:4" ht="34.5" customHeight="1" x14ac:dyDescent="0.35">
      <c r="A8" s="351" t="s">
        <v>558</v>
      </c>
      <c r="B8" s="348" t="s">
        <v>559</v>
      </c>
      <c r="C8" s="356" t="s">
        <v>560</v>
      </c>
      <c r="D8" s="355" t="s">
        <v>561</v>
      </c>
    </row>
    <row r="9" spans="1:4" ht="39.5" customHeight="1" x14ac:dyDescent="0.35">
      <c r="A9" s="351" t="s">
        <v>562</v>
      </c>
      <c r="B9" s="352" t="s">
        <v>563</v>
      </c>
      <c r="C9" s="352" t="s">
        <v>564</v>
      </c>
      <c r="D9" s="355" t="s">
        <v>565</v>
      </c>
    </row>
    <row r="11" spans="1:4" x14ac:dyDescent="0.35">
      <c r="A11" s="476" t="s">
        <v>566</v>
      </c>
      <c r="B11" s="476"/>
      <c r="C11" s="476"/>
      <c r="D11" s="476"/>
    </row>
    <row r="13" spans="1:4" ht="15.5" x14ac:dyDescent="0.35">
      <c r="A13" s="475" t="s">
        <v>567</v>
      </c>
      <c r="B13" s="475"/>
      <c r="C13" s="475"/>
      <c r="D13" s="475"/>
    </row>
    <row r="14" spans="1:4" x14ac:dyDescent="0.35">
      <c r="A14" s="349" t="s">
        <v>568</v>
      </c>
      <c r="B14" s="350" t="s">
        <v>569</v>
      </c>
      <c r="C14" s="350" t="s">
        <v>570</v>
      </c>
      <c r="D14" s="350" t="s">
        <v>571</v>
      </c>
    </row>
    <row r="15" spans="1:4" ht="42" customHeight="1" x14ac:dyDescent="0.35">
      <c r="A15" s="340" t="s">
        <v>594</v>
      </c>
      <c r="B15" s="359" t="s">
        <v>579</v>
      </c>
      <c r="C15" s="357" t="s">
        <v>576</v>
      </c>
      <c r="D15" s="355" t="s">
        <v>574</v>
      </c>
    </row>
    <row r="16" spans="1:4" ht="60" customHeight="1" x14ac:dyDescent="0.35">
      <c r="A16" s="340" t="s">
        <v>575</v>
      </c>
      <c r="B16" s="357" t="s">
        <v>572</v>
      </c>
      <c r="C16" s="357" t="s">
        <v>576</v>
      </c>
      <c r="D16" s="355" t="s">
        <v>577</v>
      </c>
    </row>
    <row r="17" spans="1:4" ht="36.5" customHeight="1" x14ac:dyDescent="0.35">
      <c r="A17" s="340" t="s">
        <v>578</v>
      </c>
      <c r="B17" s="359" t="s">
        <v>579</v>
      </c>
      <c r="C17" s="358" t="s">
        <v>573</v>
      </c>
      <c r="D17" s="355" t="s">
        <v>580</v>
      </c>
    </row>
    <row r="18" spans="1:4" ht="39.5" customHeight="1" x14ac:dyDescent="0.35">
      <c r="A18" s="340" t="s">
        <v>581</v>
      </c>
      <c r="B18" s="358" t="s">
        <v>582</v>
      </c>
      <c r="C18" s="357" t="s">
        <v>576</v>
      </c>
      <c r="D18" s="355" t="s">
        <v>583</v>
      </c>
    </row>
    <row r="19" spans="1:4" ht="39" customHeight="1" x14ac:dyDescent="0.35">
      <c r="A19" s="340" t="s">
        <v>584</v>
      </c>
      <c r="B19" s="359" t="s">
        <v>579</v>
      </c>
      <c r="C19" s="357" t="s">
        <v>576</v>
      </c>
      <c r="D19" s="355" t="s">
        <v>585</v>
      </c>
    </row>
    <row r="20" spans="1:4" ht="43" customHeight="1" x14ac:dyDescent="0.35">
      <c r="A20" s="340" t="s">
        <v>586</v>
      </c>
      <c r="B20" s="359" t="s">
        <v>579</v>
      </c>
      <c r="C20" s="357" t="s">
        <v>576</v>
      </c>
      <c r="D20" s="355" t="s">
        <v>587</v>
      </c>
    </row>
  </sheetData>
  <mergeCells count="4">
    <mergeCell ref="A1:D1"/>
    <mergeCell ref="A3:D3"/>
    <mergeCell ref="A11:D11"/>
    <mergeCell ref="A13:D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C8B28E0B2D2345A9FAC4549F0682AE" ma:contentTypeVersion="12" ma:contentTypeDescription="Crée un document." ma:contentTypeScope="" ma:versionID="af86f100d0cfbdf74326f3890577779d">
  <xsd:schema xmlns:xsd="http://www.w3.org/2001/XMLSchema" xmlns:xs="http://www.w3.org/2001/XMLSchema" xmlns:p="http://schemas.microsoft.com/office/2006/metadata/properties" xmlns:ns2="c6c38155-4c6c-41e6-8099-535f74659a2b" xmlns:ns3="84f54213-399c-4e6d-97d2-906c0dc78805" targetNamespace="http://schemas.microsoft.com/office/2006/metadata/properties" ma:root="true" ma:fieldsID="257389b925c7e385b55ddadaba121a3b" ns2:_="" ns3:_="">
    <xsd:import namespace="c6c38155-4c6c-41e6-8099-535f74659a2b"/>
    <xsd:import namespace="84f54213-399c-4e6d-97d2-906c0dc788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c38155-4c6c-41e6-8099-535f74659a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6434d7a4-722e-4fa8-8d47-40fc058451b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f54213-399c-4e6d-97d2-906c0dc7880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9f76d34-00db-4b3e-9bf7-71db0f5381cc}" ma:internalName="TaxCatchAll" ma:showField="CatchAllData" ma:web="84f54213-399c-4e6d-97d2-906c0dc788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c38155-4c6c-41e6-8099-535f74659a2b">
      <Terms xmlns="http://schemas.microsoft.com/office/infopath/2007/PartnerControls"/>
    </lcf76f155ced4ddcb4097134ff3c332f>
    <TaxCatchAll xmlns="84f54213-399c-4e6d-97d2-906c0dc78805" xsi:nil="true"/>
  </documentManagement>
</p:properties>
</file>

<file path=customXml/itemProps1.xml><?xml version="1.0" encoding="utf-8"?>
<ds:datastoreItem xmlns:ds="http://schemas.openxmlformats.org/officeDocument/2006/customXml" ds:itemID="{E349E7A3-D69B-483F-8B34-E69051D6BB15}">
  <ds:schemaRefs>
    <ds:schemaRef ds:uri="http://schemas.microsoft.com/sharepoint/v3/contenttype/forms"/>
  </ds:schemaRefs>
</ds:datastoreItem>
</file>

<file path=customXml/itemProps2.xml><?xml version="1.0" encoding="utf-8"?>
<ds:datastoreItem xmlns:ds="http://schemas.openxmlformats.org/officeDocument/2006/customXml" ds:itemID="{38FB214D-EE80-4D32-9EC9-3209F2139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c38155-4c6c-41e6-8099-535f74659a2b"/>
    <ds:schemaRef ds:uri="84f54213-399c-4e6d-97d2-906c0dc788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DABF20-ADDC-4F6B-B8CC-AB6E8AD23CF6}">
  <ds:schemaRefs>
    <ds:schemaRef ds:uri="http://schemas.microsoft.com/office/2006/metadata/properties"/>
    <ds:schemaRef ds:uri="http://schemas.microsoft.com/office/infopath/2007/PartnerControls"/>
    <ds:schemaRef ds:uri="c6c38155-4c6c-41e6-8099-535f74659a2b"/>
    <ds:schemaRef ds:uri="84f54213-399c-4e6d-97d2-906c0dc78805"/>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19</vt:i4>
      </vt:variant>
    </vt:vector>
  </HeadingPairs>
  <TitlesOfParts>
    <vt:vector size="19" baseType="lpstr">
      <vt:lpstr>Dashboard</vt:lpstr>
      <vt:lpstr>Frais de lancement</vt:lpstr>
      <vt:lpstr>Charges Fixes Plume</vt:lpstr>
      <vt:lpstr>Charges Variables</vt:lpstr>
      <vt:lpstr>Emprunt Bancaire</vt:lpstr>
      <vt:lpstr>Emprunt Mensualité</vt:lpstr>
      <vt:lpstr>AFFECTATION EMPRUNT </vt:lpstr>
      <vt:lpstr>Marges Produits</vt:lpstr>
      <vt:lpstr>Financement</vt:lpstr>
      <vt:lpstr>Scénarios</vt:lpstr>
      <vt:lpstr>Plan Trésorerie Mensuel</vt:lpstr>
      <vt:lpstr>Compte de Résultat</vt:lpstr>
      <vt:lpstr>DSCR &amp; ratio bancaires</vt:lpstr>
      <vt:lpstr>Bilan Prévisionnel</vt:lpstr>
      <vt:lpstr>Seuil Rentabilité</vt:lpstr>
      <vt:lpstr>-30% Plan Trésorerie Mensuel </vt:lpstr>
      <vt:lpstr>point mort mensuel</vt:lpstr>
      <vt:lpstr>Analyse Point Mort</vt:lpstr>
      <vt:lpstr>Conditions &amp; risques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Jean-Baptiste CHANDELIER</cp:lastModifiedBy>
  <cp:revision>2</cp:revision>
  <dcterms:created xsi:type="dcterms:W3CDTF">2025-11-30T05:44:39Z</dcterms:created>
  <dcterms:modified xsi:type="dcterms:W3CDTF">2026-02-16T16:47:14Z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0x0101007FC8B28E0B2D2345A9FAC4549F0682AE</vt:lpwstr>
  </property>
</Properties>
</file>