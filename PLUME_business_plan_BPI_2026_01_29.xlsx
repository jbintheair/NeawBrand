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bint\JB Chandelier Dropbox\Jean-Baptiste CHANDELIER\00_PLUME\06_ADMINISTRATIF\BPI &amp; banque dossier\Elements pour BPI\"/>
    </mc:Choice>
  </mc:AlternateContent>
  <xr:revisionPtr revIDLastSave="0" documentId="8_{E4C574CB-9E6F-4547-97B4-BC638CC81624}" xr6:coauthVersionLast="47" xr6:coauthVersionMax="47" xr10:uidLastSave="{00000000-0000-0000-0000-000000000000}"/>
  <bookViews>
    <workbookView xWindow="-110" yWindow="-110" windowWidth="24220" windowHeight="15500" tabRatio="500" xr2:uid="{00000000-000D-0000-FFFF-FFFF00000000}"/>
  </bookViews>
  <sheets>
    <sheet name="Dashboard" sheetId="1" r:id="rId1"/>
    <sheet name="Frais de lancement" sheetId="13" r:id="rId2"/>
    <sheet name="Charges Fixes Plume" sheetId="3" r:id="rId3"/>
    <sheet name="Emprunt Bancaire" sheetId="4" r:id="rId4"/>
    <sheet name="Charges Variables" sheetId="5" r:id="rId5"/>
    <sheet name="Marges Produits" sheetId="6" r:id="rId6"/>
    <sheet name="Financement" sheetId="8" r:id="rId7"/>
    <sheet name="Scénarios" sheetId="7" r:id="rId8"/>
    <sheet name="Plan Trésorerie Mensuel" sheetId="2" r:id="rId9"/>
    <sheet name="Compte de Résultat" sheetId="11" r:id="rId10"/>
    <sheet name="Bilan Prévisionnel" sheetId="12" r:id="rId11"/>
    <sheet name="Seuil Rentabilité" sheetId="9" r:id="rId12"/>
    <sheet name="Analyse Point Mort" sheetId="10" r:id="rId13"/>
    <sheet name="scénario-20% 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6" l="1"/>
  <c r="G43" i="6"/>
  <c r="G42" i="6"/>
  <c r="G41" i="6"/>
  <c r="G40" i="6"/>
  <c r="D19" i="2"/>
  <c r="E19" i="2"/>
  <c r="F19" i="2"/>
  <c r="G19" i="2"/>
  <c r="H19" i="2"/>
  <c r="I19" i="2"/>
  <c r="J19" i="2"/>
  <c r="K19" i="2"/>
  <c r="L19" i="2"/>
  <c r="M19" i="2"/>
  <c r="N19" i="2"/>
  <c r="C19" i="2"/>
  <c r="B17" i="7"/>
  <c r="D17" i="7"/>
  <c r="E17" i="7"/>
  <c r="F17" i="7"/>
  <c r="G17" i="7"/>
  <c r="H17" i="7"/>
  <c r="C17" i="7"/>
  <c r="D21" i="7"/>
  <c r="E21" i="7"/>
  <c r="F21" i="7"/>
  <c r="G21" i="7"/>
  <c r="C21" i="7"/>
  <c r="B22" i="7"/>
  <c r="B31" i="7" s="1"/>
  <c r="D43" i="11"/>
  <c r="C43" i="11"/>
  <c r="F16" i="9"/>
  <c r="E16" i="9"/>
  <c r="D16" i="9"/>
  <c r="C16" i="9"/>
  <c r="BI66" i="14"/>
  <c r="M66" i="14"/>
  <c r="BI65" i="14"/>
  <c r="AW65" i="14"/>
  <c r="M65" i="14"/>
  <c r="Y66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C35" i="14"/>
  <c r="D35" i="14" s="1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B64" i="14" s="1"/>
  <c r="C64" i="14" s="1"/>
  <c r="D64" i="14" s="1"/>
  <c r="E64" i="14" s="1"/>
  <c r="F64" i="14" s="1"/>
  <c r="G64" i="14" s="1"/>
  <c r="H64" i="14" s="1"/>
  <c r="I64" i="14" s="1"/>
  <c r="J64" i="14" s="1"/>
  <c r="K64" i="14" s="1"/>
  <c r="L64" i="14" s="1"/>
  <c r="M64" i="14" s="1"/>
  <c r="O34" i="14"/>
  <c r="O33" i="14"/>
  <c r="B27" i="14"/>
  <c r="B25" i="14"/>
  <c r="N24" i="14"/>
  <c r="M24" i="14"/>
  <c r="L24" i="14"/>
  <c r="K24" i="14"/>
  <c r="J24" i="14"/>
  <c r="I24" i="14"/>
  <c r="H24" i="14"/>
  <c r="G24" i="14"/>
  <c r="O24" i="14" s="1"/>
  <c r="F24" i="14"/>
  <c r="F22" i="14"/>
  <c r="E22" i="14"/>
  <c r="O22" i="14" s="1"/>
  <c r="C19" i="14"/>
  <c r="B19" i="14"/>
  <c r="O19" i="14" s="1"/>
  <c r="C18" i="14"/>
  <c r="B18" i="14"/>
  <c r="O18" i="14" s="1"/>
  <c r="O17" i="14"/>
  <c r="B16" i="14"/>
  <c r="B26" i="14" s="1" a="1"/>
  <c r="B26" i="14" s="1"/>
  <c r="E9" i="14"/>
  <c r="O9" i="14" s="1"/>
  <c r="O8" i="14"/>
  <c r="BI64" i="2"/>
  <c r="BI63" i="2"/>
  <c r="AW63" i="2"/>
  <c r="E9" i="2"/>
  <c r="O9" i="2" s="1"/>
  <c r="B7" i="2"/>
  <c r="B13" i="2" s="1"/>
  <c r="B14" i="10" s="1"/>
  <c r="L12" i="1"/>
  <c r="D9" i="1" s="1"/>
  <c r="L25" i="1"/>
  <c r="L24" i="1"/>
  <c r="L22" i="1"/>
  <c r="L17" i="1"/>
  <c r="L15" i="1"/>
  <c r="B17" i="10"/>
  <c r="E16" i="10"/>
  <c r="F16" i="10"/>
  <c r="D16" i="10"/>
  <c r="C16" i="10"/>
  <c r="E26" i="12"/>
  <c r="D26" i="12"/>
  <c r="D43" i="12" s="1"/>
  <c r="C26" i="12"/>
  <c r="C43" i="12" s="1"/>
  <c r="AQ61" i="2"/>
  <c r="AR61" i="2"/>
  <c r="AL61" i="2"/>
  <c r="AA60" i="2"/>
  <c r="AC60" i="2"/>
  <c r="AE60" i="2"/>
  <c r="AI61" i="2"/>
  <c r="P60" i="2"/>
  <c r="T60" i="2"/>
  <c r="U60" i="2"/>
  <c r="V60" i="2"/>
  <c r="AH60" i="2" s="1"/>
  <c r="W60" i="2"/>
  <c r="AI60" i="2" s="1"/>
  <c r="X60" i="2"/>
  <c r="AJ60" i="2" s="1"/>
  <c r="Y60" i="2"/>
  <c r="AK60" i="2" s="1"/>
  <c r="N60" i="2"/>
  <c r="R61" i="2"/>
  <c r="S61" i="2"/>
  <c r="T61" i="2"/>
  <c r="V61" i="2"/>
  <c r="AH61" i="2" s="1"/>
  <c r="X61" i="2"/>
  <c r="AJ61" i="2" s="1"/>
  <c r="Y61" i="2"/>
  <c r="M64" i="2"/>
  <c r="M63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9" i="12"/>
  <c r="D9" i="12"/>
  <c r="E9" i="12"/>
  <c r="F9" i="12"/>
  <c r="G9" i="12"/>
  <c r="H9" i="12"/>
  <c r="C9" i="12"/>
  <c r="B16" i="4"/>
  <c r="C36" i="4"/>
  <c r="C37" i="4"/>
  <c r="C39" i="4" s="1"/>
  <c r="C38" i="4"/>
  <c r="D38" i="4" s="1"/>
  <c r="F20" i="11" s="1"/>
  <c r="C35" i="4"/>
  <c r="B24" i="2"/>
  <c r="G23" i="2"/>
  <c r="H23" i="2"/>
  <c r="I23" i="2"/>
  <c r="J23" i="2"/>
  <c r="K23" i="2"/>
  <c r="L23" i="2"/>
  <c r="M23" i="2"/>
  <c r="N23" i="2"/>
  <c r="F23" i="2"/>
  <c r="C51" i="2"/>
  <c r="D51" i="2"/>
  <c r="E51" i="2"/>
  <c r="F51" i="2"/>
  <c r="G51" i="2"/>
  <c r="H51" i="2"/>
  <c r="I51" i="2"/>
  <c r="J51" i="2"/>
  <c r="K51" i="2"/>
  <c r="L51" i="2"/>
  <c r="M51" i="2"/>
  <c r="B51" i="2"/>
  <c r="C47" i="2"/>
  <c r="D47" i="2"/>
  <c r="E47" i="2"/>
  <c r="F47" i="2"/>
  <c r="G47" i="2"/>
  <c r="H47" i="2"/>
  <c r="I47" i="2"/>
  <c r="J47" i="2"/>
  <c r="K47" i="2"/>
  <c r="L47" i="2"/>
  <c r="M47" i="2"/>
  <c r="B47" i="2"/>
  <c r="C46" i="2"/>
  <c r="D46" i="2"/>
  <c r="E46" i="2"/>
  <c r="F46" i="2"/>
  <c r="G46" i="2"/>
  <c r="H46" i="2"/>
  <c r="I46" i="2"/>
  <c r="J46" i="2"/>
  <c r="K46" i="2"/>
  <c r="L46" i="2"/>
  <c r="M46" i="2"/>
  <c r="B46" i="2"/>
  <c r="C34" i="2"/>
  <c r="D34" i="2" s="1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B62" i="2" s="1"/>
  <c r="C62" i="2" s="1"/>
  <c r="D62" i="2" s="1"/>
  <c r="E62" i="2" s="1"/>
  <c r="F62" i="2" s="1"/>
  <c r="G62" i="2" s="1"/>
  <c r="H62" i="2" s="1"/>
  <c r="I62" i="2" s="1"/>
  <c r="J62" i="2" s="1"/>
  <c r="K62" i="2" s="1"/>
  <c r="L62" i="2" s="1"/>
  <c r="M62" i="2" s="1"/>
  <c r="F21" i="2"/>
  <c r="E21" i="2"/>
  <c r="O8" i="2"/>
  <c r="O17" i="2"/>
  <c r="O33" i="2"/>
  <c r="O32" i="2"/>
  <c r="B19" i="2"/>
  <c r="O19" i="2" s="1"/>
  <c r="C18" i="2"/>
  <c r="B18" i="2" s="1"/>
  <c r="O18" i="2" s="1"/>
  <c r="B16" i="2"/>
  <c r="O16" i="2" s="1"/>
  <c r="B39" i="4"/>
  <c r="D36" i="4"/>
  <c r="D20" i="11" s="1"/>
  <c r="D35" i="4"/>
  <c r="C20" i="11" s="1"/>
  <c r="B9" i="13"/>
  <c r="B12" i="11"/>
  <c r="B38" i="11" s="1"/>
  <c r="D12" i="11"/>
  <c r="D38" i="11" s="1"/>
  <c r="E12" i="11"/>
  <c r="F12" i="11"/>
  <c r="G12" i="11"/>
  <c r="H12" i="11"/>
  <c r="H38" i="11" s="1"/>
  <c r="C12" i="11"/>
  <c r="B15" i="6"/>
  <c r="B17" i="6" s="1"/>
  <c r="B14" i="6"/>
  <c r="C32" i="6"/>
  <c r="D32" i="6"/>
  <c r="B32" i="6"/>
  <c r="C33" i="6"/>
  <c r="D33" i="6"/>
  <c r="B33" i="6"/>
  <c r="C34" i="6"/>
  <c r="C35" i="6" s="1"/>
  <c r="C36" i="6" s="1"/>
  <c r="D34" i="6"/>
  <c r="D35" i="6" s="1"/>
  <c r="D36" i="6" s="1"/>
  <c r="B34" i="6"/>
  <c r="B35" i="6" s="1"/>
  <c r="B36" i="6" s="1"/>
  <c r="C43" i="6"/>
  <c r="C42" i="6"/>
  <c r="C41" i="6"/>
  <c r="C40" i="6"/>
  <c r="A3" i="7"/>
  <c r="A4" i="7" a="1"/>
  <c r="A4" i="7" s="1"/>
  <c r="B44" i="12"/>
  <c r="H43" i="12"/>
  <c r="G43" i="12"/>
  <c r="F43" i="12"/>
  <c r="E43" i="12"/>
  <c r="B43" i="12"/>
  <c r="G38" i="11"/>
  <c r="F38" i="11"/>
  <c r="E38" i="11"/>
  <c r="H25" i="9"/>
  <c r="G25" i="9"/>
  <c r="G31" i="9" s="1"/>
  <c r="F25" i="9"/>
  <c r="F31" i="9" s="1"/>
  <c r="E25" i="9"/>
  <c r="E31" i="9" s="1"/>
  <c r="D25" i="9"/>
  <c r="C25" i="9"/>
  <c r="C31" i="9" s="1"/>
  <c r="B25" i="9"/>
  <c r="B31" i="9" s="1"/>
  <c r="B17" i="9"/>
  <c r="B21" i="9" s="1"/>
  <c r="B24" i="9" s="1"/>
  <c r="B34" i="8"/>
  <c r="B23" i="8"/>
  <c r="B22" i="8"/>
  <c r="D7" i="8"/>
  <c r="C7" i="8"/>
  <c r="B7" i="8"/>
  <c r="B21" i="8" s="1"/>
  <c r="H20" i="7"/>
  <c r="G20" i="7"/>
  <c r="F20" i="7"/>
  <c r="E20" i="7"/>
  <c r="D20" i="7"/>
  <c r="C20" i="7"/>
  <c r="B20" i="7"/>
  <c r="C54" i="4"/>
  <c r="B54" i="4"/>
  <c r="B26" i="4"/>
  <c r="B27" i="4" s="1"/>
  <c r="B29" i="4" s="1"/>
  <c r="B30" i="4" s="1"/>
  <c r="B15" i="4"/>
  <c r="D11" i="4"/>
  <c r="B9" i="10" s="1"/>
  <c r="D36" i="3"/>
  <c r="D34" i="3"/>
  <c r="C28" i="3"/>
  <c r="B41" i="3" s="1"/>
  <c r="D13" i="3"/>
  <c r="B40" i="3" s="1"/>
  <c r="B9" i="1"/>
  <c r="B7" i="14" s="1"/>
  <c r="B13" i="14" s="1"/>
  <c r="Y64" i="2" l="1"/>
  <c r="B43" i="11"/>
  <c r="C14" i="10"/>
  <c r="Y41" i="2"/>
  <c r="Y42" i="2" s="1"/>
  <c r="T41" i="2"/>
  <c r="T52" i="2" s="1"/>
  <c r="Y63" i="2"/>
  <c r="O7" i="2"/>
  <c r="AW64" i="2"/>
  <c r="N64" i="14"/>
  <c r="O64" i="14" s="1"/>
  <c r="P64" i="14" s="1"/>
  <c r="Q64" i="14" s="1"/>
  <c r="R64" i="14" s="1"/>
  <c r="S64" i="14" s="1"/>
  <c r="T64" i="14" s="1"/>
  <c r="U64" i="14" s="1"/>
  <c r="V64" i="14" s="1"/>
  <c r="W64" i="14" s="1"/>
  <c r="X64" i="14" s="1"/>
  <c r="Y64" i="14" s="1"/>
  <c r="AK66" i="14"/>
  <c r="AH42" i="14"/>
  <c r="Y65" i="14"/>
  <c r="B29" i="14"/>
  <c r="B30" i="14" s="1"/>
  <c r="O16" i="14"/>
  <c r="AW66" i="14"/>
  <c r="O7" i="14"/>
  <c r="N62" i="2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0" i="2"/>
  <c r="AG60" i="2"/>
  <c r="AF60" i="2"/>
  <c r="AB60" i="2"/>
  <c r="AK61" i="2"/>
  <c r="X41" i="2"/>
  <c r="X52" i="2" s="1"/>
  <c r="V41" i="2"/>
  <c r="V52" i="2" s="1"/>
  <c r="N41" i="2"/>
  <c r="Y52" i="2"/>
  <c r="D37" i="4"/>
  <c r="E20" i="11" s="1"/>
  <c r="D39" i="4"/>
  <c r="B25" i="2" a="1"/>
  <c r="B25" i="2" s="1"/>
  <c r="B26" i="2" s="1"/>
  <c r="O21" i="2"/>
  <c r="O23" i="2"/>
  <c r="C38" i="11"/>
  <c r="D41" i="3"/>
  <c r="C45" i="6"/>
  <c r="R41" i="2" s="1"/>
  <c r="B27" i="9"/>
  <c r="D41" i="6"/>
  <c r="D42" i="6"/>
  <c r="D43" i="6"/>
  <c r="D40" i="3"/>
  <c r="D31" i="9"/>
  <c r="B20" i="4"/>
  <c r="H31" i="9"/>
  <c r="AK63" i="2" l="1"/>
  <c r="AK41" i="2"/>
  <c r="AK42" i="2" s="1"/>
  <c r="AK64" i="2"/>
  <c r="R52" i="2"/>
  <c r="R42" i="2"/>
  <c r="T42" i="2"/>
  <c r="AX42" i="14"/>
  <c r="N42" i="14"/>
  <c r="AF41" i="2"/>
  <c r="I41" i="2"/>
  <c r="J12" i="2"/>
  <c r="K42" i="14"/>
  <c r="M12" i="2"/>
  <c r="AS42" i="14"/>
  <c r="AK42" i="14"/>
  <c r="AW42" i="14"/>
  <c r="M42" i="14"/>
  <c r="AG41" i="2"/>
  <c r="J41" i="2"/>
  <c r="K12" i="2"/>
  <c r="B4" i="11"/>
  <c r="AU42" i="14"/>
  <c r="AN41" i="2"/>
  <c r="AT42" i="14"/>
  <c r="J42" i="14"/>
  <c r="AO41" i="2"/>
  <c r="M41" i="2"/>
  <c r="N12" i="2"/>
  <c r="I42" i="14"/>
  <c r="AP41" i="2"/>
  <c r="B41" i="2"/>
  <c r="F12" i="2"/>
  <c r="G42" i="14"/>
  <c r="AU41" i="2"/>
  <c r="AN42" i="14"/>
  <c r="E42" i="14"/>
  <c r="AQ42" i="14"/>
  <c r="AM42" i="14"/>
  <c r="AW41" i="2"/>
  <c r="Y42" i="14"/>
  <c r="C42" i="14"/>
  <c r="T42" i="14"/>
  <c r="AV42" i="14"/>
  <c r="L42" i="14"/>
  <c r="AM41" i="2"/>
  <c r="K41" i="2"/>
  <c r="L12" i="2"/>
  <c r="L41" i="2"/>
  <c r="AR42" i="14"/>
  <c r="H42" i="14"/>
  <c r="AS41" i="2"/>
  <c r="AP42" i="14"/>
  <c r="AT41" i="2"/>
  <c r="AO42" i="14"/>
  <c r="F42" i="14"/>
  <c r="AV41" i="2"/>
  <c r="D42" i="14"/>
  <c r="AL42" i="14"/>
  <c r="AJ42" i="14"/>
  <c r="B42" i="14"/>
  <c r="AG42" i="14"/>
  <c r="AZ41" i="2"/>
  <c r="AD42" i="14"/>
  <c r="N12" i="14"/>
  <c r="BC41" i="2"/>
  <c r="AC42" i="14"/>
  <c r="M12" i="14"/>
  <c r="BD41" i="2"/>
  <c r="BH42" i="14"/>
  <c r="J12" i="14"/>
  <c r="P41" i="2"/>
  <c r="BG42" i="14"/>
  <c r="X42" i="14"/>
  <c r="I12" i="14"/>
  <c r="Q41" i="2"/>
  <c r="BE42" i="14"/>
  <c r="AX41" i="2"/>
  <c r="W41" i="2"/>
  <c r="AB42" i="14"/>
  <c r="L12" i="14"/>
  <c r="BE41" i="2"/>
  <c r="BI42" i="14"/>
  <c r="AA42" i="14"/>
  <c r="K12" i="14"/>
  <c r="BF41" i="2"/>
  <c r="O41" i="2"/>
  <c r="Z42" i="14"/>
  <c r="BG41" i="2"/>
  <c r="BH41" i="2"/>
  <c r="BF42" i="14"/>
  <c r="W42" i="14"/>
  <c r="H12" i="14"/>
  <c r="BI41" i="2"/>
  <c r="U41" i="2"/>
  <c r="G12" i="14"/>
  <c r="BD42" i="14"/>
  <c r="U42" i="14"/>
  <c r="F12" i="14"/>
  <c r="Z41" i="2"/>
  <c r="C41" i="2"/>
  <c r="C12" i="2"/>
  <c r="BC42" i="14"/>
  <c r="S42" i="14"/>
  <c r="E12" i="14"/>
  <c r="AA41" i="2"/>
  <c r="D41" i="2"/>
  <c r="D12" i="2"/>
  <c r="BB42" i="14"/>
  <c r="R42" i="14"/>
  <c r="D12" i="14"/>
  <c r="V42" i="14"/>
  <c r="AY42" i="14"/>
  <c r="C12" i="14"/>
  <c r="AI42" i="14"/>
  <c r="O42" i="14"/>
  <c r="H12" i="2"/>
  <c r="G41" i="2"/>
  <c r="AF42" i="14"/>
  <c r="AE42" i="14"/>
  <c r="G12" i="2"/>
  <c r="I12" i="2"/>
  <c r="AD41" i="2"/>
  <c r="AZ42" i="14"/>
  <c r="Q42" i="14"/>
  <c r="E12" i="2"/>
  <c r="AE41" i="2"/>
  <c r="P42" i="14"/>
  <c r="F41" i="2"/>
  <c r="AB41" i="2"/>
  <c r="BA41" i="2"/>
  <c r="E41" i="2"/>
  <c r="BA42" i="14"/>
  <c r="H41" i="2"/>
  <c r="BB41" i="2"/>
  <c r="AY41" i="2"/>
  <c r="AC41" i="2"/>
  <c r="AI41" i="2"/>
  <c r="AI42" i="2" s="1"/>
  <c r="AQ41" i="2"/>
  <c r="AR41" i="2"/>
  <c r="AL41" i="2"/>
  <c r="AK52" i="2"/>
  <c r="S41" i="2"/>
  <c r="AH41" i="2"/>
  <c r="AJ41" i="2"/>
  <c r="Z62" i="2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Y62" i="2" s="1"/>
  <c r="AZ62" i="2" s="1"/>
  <c r="BA62" i="2" s="1"/>
  <c r="BB62" i="2" s="1"/>
  <c r="BC62" i="2" s="1"/>
  <c r="BD62" i="2" s="1"/>
  <c r="BE62" i="2" s="1"/>
  <c r="BF62" i="2" s="1"/>
  <c r="BG62" i="2" s="1"/>
  <c r="BH62" i="2" s="1"/>
  <c r="BI62" i="2" s="1"/>
  <c r="X42" i="2"/>
  <c r="V42" i="2"/>
  <c r="Z64" i="14"/>
  <c r="AA64" i="14" s="1"/>
  <c r="AB64" i="14" s="1"/>
  <c r="AC64" i="14" s="1"/>
  <c r="AD64" i="14" s="1"/>
  <c r="AE64" i="14" s="1"/>
  <c r="AF64" i="14" s="1"/>
  <c r="AG64" i="14" s="1"/>
  <c r="AH64" i="14" s="1"/>
  <c r="AI64" i="14" s="1"/>
  <c r="AJ64" i="14" s="1"/>
  <c r="AK64" i="14" s="1"/>
  <c r="AL64" i="14" s="1"/>
  <c r="AM64" i="14" s="1"/>
  <c r="AN64" i="14" s="1"/>
  <c r="AO64" i="14" s="1"/>
  <c r="AP64" i="14" s="1"/>
  <c r="AQ64" i="14" s="1"/>
  <c r="AR64" i="14" s="1"/>
  <c r="AS64" i="14" s="1"/>
  <c r="AT64" i="14" s="1"/>
  <c r="AU64" i="14" s="1"/>
  <c r="AV64" i="14" s="1"/>
  <c r="AW64" i="14" s="1"/>
  <c r="AX64" i="14" s="1"/>
  <c r="AY64" i="14" s="1"/>
  <c r="AZ64" i="14" s="1"/>
  <c r="BA64" i="14" s="1"/>
  <c r="BB64" i="14" s="1"/>
  <c r="BC64" i="14" s="1"/>
  <c r="BD64" i="14" s="1"/>
  <c r="BE64" i="14" s="1"/>
  <c r="BF64" i="14" s="1"/>
  <c r="BG64" i="14" s="1"/>
  <c r="BH64" i="14" s="1"/>
  <c r="BI64" i="14" s="1"/>
  <c r="AH43" i="14"/>
  <c r="AH53" i="14"/>
  <c r="AK65" i="14"/>
  <c r="N42" i="2"/>
  <c r="N52" i="2"/>
  <c r="B28" i="2"/>
  <c r="B44" i="11" s="1"/>
  <c r="B45" i="11" s="1"/>
  <c r="B4" i="9"/>
  <c r="Y65" i="2" l="1"/>
  <c r="F22" i="1" s="1"/>
  <c r="E22" i="7" s="1"/>
  <c r="E31" i="7" s="1"/>
  <c r="AG43" i="14"/>
  <c r="AG53" i="14"/>
  <c r="AZ53" i="14"/>
  <c r="AZ43" i="14"/>
  <c r="AJ53" i="14"/>
  <c r="AJ43" i="14"/>
  <c r="J43" i="14"/>
  <c r="J53" i="14"/>
  <c r="Z53" i="14"/>
  <c r="Z43" i="14"/>
  <c r="AU43" i="14"/>
  <c r="AU53" i="14"/>
  <c r="AJ42" i="2"/>
  <c r="AJ52" i="2"/>
  <c r="P43" i="14"/>
  <c r="P53" i="14"/>
  <c r="G25" i="14"/>
  <c r="G13" i="14"/>
  <c r="AD43" i="14"/>
  <c r="AD53" i="14"/>
  <c r="B42" i="2"/>
  <c r="M65" i="2"/>
  <c r="E22" i="1" s="1"/>
  <c r="D22" i="7" s="1"/>
  <c r="D31" i="7" s="1"/>
  <c r="B52" i="2"/>
  <c r="AZ52" i="2"/>
  <c r="AZ42" i="2"/>
  <c r="AP52" i="2"/>
  <c r="AP42" i="2"/>
  <c r="E24" i="2"/>
  <c r="E13" i="2"/>
  <c r="I43" i="14"/>
  <c r="I53" i="14"/>
  <c r="W53" i="14"/>
  <c r="W43" i="14"/>
  <c r="AT43" i="14"/>
  <c r="AT53" i="14"/>
  <c r="E13" i="11"/>
  <c r="F13" i="11"/>
  <c r="G13" i="11"/>
  <c r="B13" i="11"/>
  <c r="D13" i="11"/>
  <c r="C13" i="11"/>
  <c r="S52" i="2"/>
  <c r="S42" i="2"/>
  <c r="AI43" i="14"/>
  <c r="AI53" i="14"/>
  <c r="BI43" i="14"/>
  <c r="BI53" i="14"/>
  <c r="H43" i="14"/>
  <c r="H53" i="14"/>
  <c r="AG42" i="2"/>
  <c r="AG52" i="2"/>
  <c r="D53" i="14"/>
  <c r="D43" i="14"/>
  <c r="BG42" i="2"/>
  <c r="BG52" i="2"/>
  <c r="AT42" i="2"/>
  <c r="AT52" i="2"/>
  <c r="C25" i="14"/>
  <c r="O12" i="14"/>
  <c r="C13" i="14"/>
  <c r="O13" i="14" s="1"/>
  <c r="BE42" i="2"/>
  <c r="BE52" i="2"/>
  <c r="AR43" i="14"/>
  <c r="AR53" i="14"/>
  <c r="M43" i="14"/>
  <c r="M53" i="14"/>
  <c r="H25" i="14"/>
  <c r="H13" i="14"/>
  <c r="M52" i="2"/>
  <c r="M42" i="2"/>
  <c r="AL53" i="14"/>
  <c r="AW67" i="14"/>
  <c r="AL43" i="14"/>
  <c r="AF43" i="14"/>
  <c r="AF53" i="14"/>
  <c r="BF42" i="2"/>
  <c r="BF52" i="2"/>
  <c r="AH42" i="2"/>
  <c r="AH52" i="2"/>
  <c r="AS52" i="2"/>
  <c r="AS42" i="2"/>
  <c r="L13" i="2"/>
  <c r="L24" i="2"/>
  <c r="AK53" i="14"/>
  <c r="AK43" i="14"/>
  <c r="AE42" i="2"/>
  <c r="AE52" i="2"/>
  <c r="BI42" i="2"/>
  <c r="BI52" i="2"/>
  <c r="AO43" i="14"/>
  <c r="AO53" i="14"/>
  <c r="G52" i="2"/>
  <c r="G42" i="2"/>
  <c r="L52" i="2"/>
  <c r="L42" i="2"/>
  <c r="AR52" i="2"/>
  <c r="AR42" i="2"/>
  <c r="AQ52" i="2"/>
  <c r="AQ42" i="2"/>
  <c r="Q52" i="2"/>
  <c r="Q42" i="2"/>
  <c r="AV53" i="14"/>
  <c r="AV43" i="14"/>
  <c r="J13" i="2"/>
  <c r="J24" i="2"/>
  <c r="I52" i="2"/>
  <c r="I42" i="2"/>
  <c r="AD42" i="2"/>
  <c r="AD52" i="2"/>
  <c r="I13" i="2"/>
  <c r="I24" i="2"/>
  <c r="G13" i="2"/>
  <c r="G24" i="2"/>
  <c r="L25" i="14"/>
  <c r="L13" i="14"/>
  <c r="K52" i="2"/>
  <c r="K42" i="2"/>
  <c r="AA42" i="2"/>
  <c r="AA52" i="2"/>
  <c r="X43" i="14"/>
  <c r="X53" i="14"/>
  <c r="C43" i="14"/>
  <c r="C53" i="14"/>
  <c r="AF42" i="2"/>
  <c r="AF52" i="2"/>
  <c r="AO52" i="2"/>
  <c r="AO42" i="2"/>
  <c r="AY53" i="14"/>
  <c r="AY43" i="14"/>
  <c r="AB53" i="14"/>
  <c r="AB43" i="14"/>
  <c r="R53" i="14"/>
  <c r="R43" i="14"/>
  <c r="BE43" i="14"/>
  <c r="BE53" i="14"/>
  <c r="K43" i="14"/>
  <c r="K53" i="14"/>
  <c r="D13" i="2"/>
  <c r="D24" i="2"/>
  <c r="I25" i="14"/>
  <c r="I13" i="14"/>
  <c r="AC42" i="2"/>
  <c r="AC52" i="2"/>
  <c r="E25" i="14"/>
  <c r="E13" i="14"/>
  <c r="BG53" i="14"/>
  <c r="BG43" i="14"/>
  <c r="Y53" i="14"/>
  <c r="Y43" i="14"/>
  <c r="N53" i="14"/>
  <c r="Y67" i="14"/>
  <c r="N43" i="14"/>
  <c r="N13" i="2"/>
  <c r="N24" i="2"/>
  <c r="Q43" i="14"/>
  <c r="Q53" i="14"/>
  <c r="BF43" i="14"/>
  <c r="BF53" i="14"/>
  <c r="BH42" i="2"/>
  <c r="BH52" i="2"/>
  <c r="AV42" i="2"/>
  <c r="AV52" i="2"/>
  <c r="O43" i="14"/>
  <c r="O53" i="14"/>
  <c r="AL42" i="2"/>
  <c r="AL52" i="2"/>
  <c r="AW65" i="2"/>
  <c r="H22" i="1" s="1"/>
  <c r="G22" i="7" s="1"/>
  <c r="G31" i="7" s="1"/>
  <c r="D25" i="14"/>
  <c r="D13" i="14"/>
  <c r="AM42" i="2"/>
  <c r="AM52" i="2"/>
  <c r="BB43" i="14"/>
  <c r="BB53" i="14"/>
  <c r="BI67" i="14"/>
  <c r="AX43" i="14"/>
  <c r="AX53" i="14"/>
  <c r="U52" i="2"/>
  <c r="U42" i="2"/>
  <c r="F53" i="14"/>
  <c r="F43" i="14"/>
  <c r="AN42" i="2"/>
  <c r="AN52" i="2"/>
  <c r="H13" i="2"/>
  <c r="H24" i="2"/>
  <c r="K25" i="14"/>
  <c r="K13" i="14"/>
  <c r="AP43" i="14"/>
  <c r="AP53" i="14"/>
  <c r="AW53" i="14"/>
  <c r="AW43" i="14"/>
  <c r="AX42" i="2"/>
  <c r="BI65" i="2"/>
  <c r="AX52" i="2"/>
  <c r="M13" i="2"/>
  <c r="M24" i="2"/>
  <c r="S53" i="14"/>
  <c r="S43" i="14"/>
  <c r="AW42" i="2"/>
  <c r="AW52" i="2"/>
  <c r="BB52" i="2"/>
  <c r="BB42" i="2"/>
  <c r="AM53" i="14"/>
  <c r="AM43" i="14"/>
  <c r="H52" i="2"/>
  <c r="H42" i="2"/>
  <c r="AN43" i="14"/>
  <c r="AN53" i="14"/>
  <c r="M67" i="14"/>
  <c r="B43" i="14"/>
  <c r="B53" i="14"/>
  <c r="O42" i="2"/>
  <c r="O52" i="2"/>
  <c r="K13" i="2"/>
  <c r="K24" i="2"/>
  <c r="AA43" i="14"/>
  <c r="AA53" i="14"/>
  <c r="J52" i="2"/>
  <c r="J42" i="2"/>
  <c r="AK67" i="14"/>
  <c r="W52" i="2"/>
  <c r="W42" i="2"/>
  <c r="BC53" i="14"/>
  <c r="BC43" i="14"/>
  <c r="C13" i="2"/>
  <c r="C24" i="2"/>
  <c r="O12" i="2"/>
  <c r="D22" i="1" s="1"/>
  <c r="C22" i="7" s="1"/>
  <c r="C31" i="7" s="1"/>
  <c r="BH53" i="14"/>
  <c r="BH43" i="14"/>
  <c r="AQ53" i="14"/>
  <c r="AQ43" i="14"/>
  <c r="BA53" i="14"/>
  <c r="BA43" i="14"/>
  <c r="E53" i="14"/>
  <c r="E43" i="14"/>
  <c r="E42" i="2"/>
  <c r="E52" i="2"/>
  <c r="M13" i="14"/>
  <c r="M25" i="14"/>
  <c r="AI52" i="2"/>
  <c r="BA42" i="2"/>
  <c r="BA52" i="2"/>
  <c r="F13" i="14"/>
  <c r="F25" i="14"/>
  <c r="AC43" i="14"/>
  <c r="AC53" i="14"/>
  <c r="AU42" i="2"/>
  <c r="AU52" i="2"/>
  <c r="L43" i="14"/>
  <c r="L53" i="14"/>
  <c r="D52" i="2"/>
  <c r="D42" i="2"/>
  <c r="T53" i="14"/>
  <c r="T43" i="14"/>
  <c r="AY42" i="2"/>
  <c r="AY52" i="2"/>
  <c r="P42" i="2"/>
  <c r="P52" i="2"/>
  <c r="J25" i="14"/>
  <c r="J13" i="14"/>
  <c r="AB42" i="2"/>
  <c r="AB52" i="2"/>
  <c r="U53" i="14"/>
  <c r="U43" i="14"/>
  <c r="BC52" i="2"/>
  <c r="BC42" i="2"/>
  <c r="G53" i="14"/>
  <c r="G43" i="14"/>
  <c r="AE53" i="14"/>
  <c r="AE43" i="14"/>
  <c r="AK65" i="2"/>
  <c r="G22" i="1" s="1"/>
  <c r="F22" i="7" s="1"/>
  <c r="F31" i="7" s="1"/>
  <c r="V53" i="14"/>
  <c r="V43" i="14"/>
  <c r="AS43" i="14"/>
  <c r="AS53" i="14"/>
  <c r="C42" i="2"/>
  <c r="C52" i="2"/>
  <c r="BD52" i="2"/>
  <c r="BD42" i="2"/>
  <c r="Z42" i="2"/>
  <c r="Z52" i="2"/>
  <c r="F42" i="2"/>
  <c r="F52" i="2"/>
  <c r="BD53" i="14"/>
  <c r="BD43" i="14"/>
  <c r="N25" i="14"/>
  <c r="N13" i="14"/>
  <c r="F13" i="2"/>
  <c r="F24" i="2"/>
  <c r="C24" i="1"/>
  <c r="B21" i="11"/>
  <c r="B29" i="2"/>
  <c r="B13" i="12"/>
  <c r="B7" i="9"/>
  <c r="O25" i="14" l="1"/>
  <c r="O13" i="2"/>
  <c r="C24" i="11"/>
  <c r="C25" i="11" s="1"/>
  <c r="C46" i="12"/>
  <c r="D46" i="12"/>
  <c r="D24" i="11"/>
  <c r="D25" i="11" s="1"/>
  <c r="F46" i="12"/>
  <c r="F24" i="11"/>
  <c r="F25" i="11" s="1"/>
  <c r="B46" i="12"/>
  <c r="B24" i="11"/>
  <c r="B25" i="11" s="1"/>
  <c r="G24" i="11"/>
  <c r="G25" i="11" s="1"/>
  <c r="G46" i="12"/>
  <c r="O24" i="2"/>
  <c r="E24" i="11"/>
  <c r="E25" i="11" s="1"/>
  <c r="E46" i="12"/>
  <c r="H13" i="11"/>
  <c r="I22" i="1"/>
  <c r="H22" i="7" s="1"/>
  <c r="H31" i="7" s="1"/>
  <c r="B19" i="11"/>
  <c r="B38" i="12"/>
  <c r="B14" i="12"/>
  <c r="B16" i="12" s="1"/>
  <c r="H46" i="12" l="1"/>
  <c r="H24" i="11"/>
  <c r="H25" i="11" s="1"/>
  <c r="E41" i="6"/>
  <c r="A6" i="7" s="1" a="1"/>
  <c r="A6" i="7" s="1"/>
  <c r="E43" i="6"/>
  <c r="A8" i="7" s="1" a="1"/>
  <c r="A8" i="7" s="1"/>
  <c r="A7" i="7" a="1"/>
  <c r="A7" i="7" s="1"/>
  <c r="E42" i="6"/>
  <c r="E40" i="6"/>
  <c r="E45" i="6" s="1"/>
  <c r="D40" i="6"/>
  <c r="AW51" i="14" l="1"/>
  <c r="B51" i="14"/>
  <c r="I23" i="14"/>
  <c r="W50" i="2"/>
  <c r="F23" i="14"/>
  <c r="AM50" i="2"/>
  <c r="AS51" i="14"/>
  <c r="AR51" i="14"/>
  <c r="D23" i="14"/>
  <c r="AO50" i="2"/>
  <c r="C23" i="14"/>
  <c r="G11" i="12"/>
  <c r="G44" i="12" s="1"/>
  <c r="AU50" i="2"/>
  <c r="G50" i="2"/>
  <c r="AD51" i="14"/>
  <c r="I50" i="2"/>
  <c r="AV51" i="14"/>
  <c r="H23" i="14"/>
  <c r="AD50" i="2"/>
  <c r="AT51" i="14"/>
  <c r="E23" i="14"/>
  <c r="AN50" i="2"/>
  <c r="AP51" i="14"/>
  <c r="AR50" i="2"/>
  <c r="D50" i="2"/>
  <c r="C33" i="3"/>
  <c r="AU51" i="14"/>
  <c r="G23" i="14"/>
  <c r="AL50" i="2"/>
  <c r="B6" i="9"/>
  <c r="B6" i="10" s="1"/>
  <c r="AQ51" i="14"/>
  <c r="AS50" i="2"/>
  <c r="E50" i="2"/>
  <c r="AT50" i="2"/>
  <c r="F50" i="2"/>
  <c r="D11" i="12"/>
  <c r="D44" i="12" s="1"/>
  <c r="AW50" i="2"/>
  <c r="AP50" i="2"/>
  <c r="AQ50" i="2"/>
  <c r="C50" i="2"/>
  <c r="AO51" i="14"/>
  <c r="AN51" i="14"/>
  <c r="AM51" i="14"/>
  <c r="AL51" i="14"/>
  <c r="H11" i="12"/>
  <c r="H44" i="12" s="1"/>
  <c r="AJ51" i="14"/>
  <c r="AV50" i="2"/>
  <c r="H50" i="2"/>
  <c r="E11" i="12"/>
  <c r="E44" i="12" s="1"/>
  <c r="AE51" i="14"/>
  <c r="AA51" i="14"/>
  <c r="AY50" i="2"/>
  <c r="K50" i="2"/>
  <c r="D22" i="2"/>
  <c r="AI51" i="14"/>
  <c r="R51" i="14"/>
  <c r="BB50" i="2"/>
  <c r="B50" i="2"/>
  <c r="H22" i="2"/>
  <c r="H25" i="2" s="1" a="1"/>
  <c r="H25" i="2" s="1"/>
  <c r="H26" i="2" s="1"/>
  <c r="H28" i="2" s="1"/>
  <c r="AH51" i="14"/>
  <c r="Q51" i="14"/>
  <c r="BC50" i="2"/>
  <c r="I22" i="2"/>
  <c r="J22" i="2"/>
  <c r="BG51" i="14"/>
  <c r="L51" i="14"/>
  <c r="BF50" i="2"/>
  <c r="L22" i="2"/>
  <c r="L25" i="2" s="1" a="1"/>
  <c r="L25" i="2" s="1"/>
  <c r="L26" i="2" s="1"/>
  <c r="L28" i="2" s="1"/>
  <c r="K51" i="14"/>
  <c r="BG50" i="2"/>
  <c r="M22" i="2"/>
  <c r="N22" i="2"/>
  <c r="N25" i="2" s="1" a="1"/>
  <c r="N25" i="2" s="1"/>
  <c r="N26" i="2" s="1"/>
  <c r="N28" i="2" s="1"/>
  <c r="BI50" i="2"/>
  <c r="E22" i="2"/>
  <c r="BB51" i="14"/>
  <c r="M23" i="14"/>
  <c r="M26" i="14" s="1" a="1"/>
  <c r="M26" i="14" s="1"/>
  <c r="M27" i="14" s="1"/>
  <c r="M29" i="14" s="1"/>
  <c r="AG51" i="14"/>
  <c r="BI51" i="14"/>
  <c r="O51" i="14"/>
  <c r="BD50" i="2"/>
  <c r="AB51" i="14"/>
  <c r="BH51" i="14"/>
  <c r="M51" i="14"/>
  <c r="BE50" i="2"/>
  <c r="K22" i="2"/>
  <c r="BF51" i="14"/>
  <c r="BH50" i="2"/>
  <c r="BC51" i="14"/>
  <c r="H51" i="14"/>
  <c r="G51" i="14"/>
  <c r="N23" i="14"/>
  <c r="N26" i="14" s="1" a="1"/>
  <c r="N26" i="14" s="1"/>
  <c r="N27" i="14" s="1"/>
  <c r="N29" i="14" s="1"/>
  <c r="O50" i="2"/>
  <c r="BA51" i="14"/>
  <c r="F51" i="14"/>
  <c r="BE51" i="14"/>
  <c r="J51" i="14"/>
  <c r="BD51" i="14"/>
  <c r="I51" i="14"/>
  <c r="B6" i="11"/>
  <c r="C22" i="2"/>
  <c r="G22" i="2"/>
  <c r="G25" i="2" s="1" a="1"/>
  <c r="G25" i="2" s="1"/>
  <c r="G26" i="2" s="1"/>
  <c r="G28" i="2" s="1"/>
  <c r="R50" i="2"/>
  <c r="S50" i="2"/>
  <c r="AX50" i="2"/>
  <c r="S51" i="14"/>
  <c r="F22" i="2"/>
  <c r="AZ50" i="2"/>
  <c r="J23" i="14"/>
  <c r="Q50" i="2"/>
  <c r="V50" i="2"/>
  <c r="L23" i="14"/>
  <c r="K23" i="14"/>
  <c r="K26" i="14" s="1" a="1"/>
  <c r="K26" i="14" s="1"/>
  <c r="K27" i="14" s="1"/>
  <c r="K29" i="14" s="1"/>
  <c r="BA50" i="2"/>
  <c r="J50" i="2"/>
  <c r="AZ51" i="14"/>
  <c r="L50" i="2"/>
  <c r="Y51" i="14"/>
  <c r="X51" i="14"/>
  <c r="E51" i="14"/>
  <c r="AK51" i="14"/>
  <c r="AY51" i="14"/>
  <c r="M50" i="2"/>
  <c r="D51" i="14"/>
  <c r="AX51" i="14"/>
  <c r="AC51" i="14"/>
  <c r="V51" i="14"/>
  <c r="C51" i="14"/>
  <c r="F11" i="12"/>
  <c r="F44" i="12" s="1"/>
  <c r="AF51" i="14"/>
  <c r="T51" i="14"/>
  <c r="X50" i="2"/>
  <c r="AE50" i="2"/>
  <c r="P51" i="14"/>
  <c r="AA50" i="2"/>
  <c r="Y50" i="2"/>
  <c r="AC50" i="2"/>
  <c r="U51" i="14"/>
  <c r="N50" i="2"/>
  <c r="N51" i="14"/>
  <c r="T50" i="2"/>
  <c r="AJ50" i="2"/>
  <c r="U50" i="2"/>
  <c r="AH50" i="2"/>
  <c r="AI50" i="2"/>
  <c r="P50" i="2"/>
  <c r="AK50" i="2"/>
  <c r="W51" i="14"/>
  <c r="AB50" i="2"/>
  <c r="AF50" i="2"/>
  <c r="Z51" i="14"/>
  <c r="AG50" i="2"/>
  <c r="Z50" i="2"/>
  <c r="C11" i="12"/>
  <c r="B18" i="6"/>
  <c r="A5" i="7" a="1"/>
  <c r="A5" i="7" s="1"/>
  <c r="D45" i="6"/>
  <c r="BB46" i="14" l="1"/>
  <c r="BB54" i="14" s="1"/>
  <c r="BB56" i="14" s="1"/>
  <c r="BB58" i="14" s="1"/>
  <c r="V46" i="14"/>
  <c r="V54" i="14" s="1"/>
  <c r="V56" i="14" s="1"/>
  <c r="V58" i="14" s="1"/>
  <c r="AI45" i="2"/>
  <c r="AY46" i="14"/>
  <c r="AY54" i="14" s="1"/>
  <c r="AY56" i="14" s="1"/>
  <c r="AY58" i="14" s="1"/>
  <c r="AL45" i="2"/>
  <c r="AW46" i="14"/>
  <c r="K46" i="14"/>
  <c r="K54" i="14" s="1"/>
  <c r="K56" i="14" s="1"/>
  <c r="K58" i="14" s="1"/>
  <c r="AT45" i="2"/>
  <c r="AT53" i="2" s="1"/>
  <c r="AT54" i="2" s="1"/>
  <c r="AT56" i="2" s="1"/>
  <c r="AP46" i="14"/>
  <c r="AP54" i="14" s="1"/>
  <c r="AP56" i="14" s="1"/>
  <c r="AP58" i="14" s="1"/>
  <c r="AU45" i="2"/>
  <c r="AU53" i="2" s="1"/>
  <c r="AU54" i="2" s="1"/>
  <c r="AU56" i="2" s="1"/>
  <c r="I46" i="14"/>
  <c r="I54" i="14" s="1"/>
  <c r="I56" i="14" s="1"/>
  <c r="I58" i="14" s="1"/>
  <c r="BA46" i="14"/>
  <c r="BA54" i="14" s="1"/>
  <c r="BA56" i="14" s="1"/>
  <c r="BA58" i="14" s="1"/>
  <c r="U46" i="14"/>
  <c r="U54" i="14" s="1"/>
  <c r="U56" i="14" s="1"/>
  <c r="U58" i="14" s="1"/>
  <c r="AJ45" i="2"/>
  <c r="S46" i="14"/>
  <c r="S54" i="14" s="1"/>
  <c r="S56" i="14" s="1"/>
  <c r="S58" i="14" s="1"/>
  <c r="AX46" i="14"/>
  <c r="AX54" i="14" s="1"/>
  <c r="AX56" i="14" s="1"/>
  <c r="AX58" i="14" s="1"/>
  <c r="Q46" i="14"/>
  <c r="AV46" i="14"/>
  <c r="AV54" i="14" s="1"/>
  <c r="AV56" i="14" s="1"/>
  <c r="AV58" i="14" s="1"/>
  <c r="O46" i="14"/>
  <c r="N46" i="14"/>
  <c r="C35" i="3"/>
  <c r="AS46" i="14"/>
  <c r="AS54" i="14" s="1"/>
  <c r="AS56" i="14" s="1"/>
  <c r="AS58" i="14" s="1"/>
  <c r="N45" i="2"/>
  <c r="N53" i="2" s="1"/>
  <c r="N54" i="2" s="1"/>
  <c r="N56" i="2" s="1"/>
  <c r="AO46" i="14"/>
  <c r="AO54" i="14" s="1"/>
  <c r="AO56" i="14" s="1"/>
  <c r="AO58" i="14" s="1"/>
  <c r="AZ46" i="14"/>
  <c r="AZ54" i="14" s="1"/>
  <c r="AZ56" i="14" s="1"/>
  <c r="AZ58" i="14" s="1"/>
  <c r="T46" i="14"/>
  <c r="AK45" i="2"/>
  <c r="R46" i="14"/>
  <c r="R54" i="14" s="1"/>
  <c r="R56" i="14" s="1"/>
  <c r="R58" i="14" s="1"/>
  <c r="AM45" i="2"/>
  <c r="AN45" i="2"/>
  <c r="AN53" i="2" s="1"/>
  <c r="AN54" i="2" s="1"/>
  <c r="AN56" i="2" s="1"/>
  <c r="P46" i="14"/>
  <c r="P54" i="14" s="1"/>
  <c r="P56" i="14" s="1"/>
  <c r="P58" i="14" s="1"/>
  <c r="AT46" i="14"/>
  <c r="AT54" i="14" s="1"/>
  <c r="AT56" i="14" s="1"/>
  <c r="AT58" i="14" s="1"/>
  <c r="AQ45" i="2"/>
  <c r="AQ53" i="2" s="1"/>
  <c r="AQ54" i="2" s="1"/>
  <c r="AQ56" i="2" s="1"/>
  <c r="M46" i="14"/>
  <c r="M54" i="14" s="1"/>
  <c r="M56" i="14" s="1"/>
  <c r="M58" i="14" s="1"/>
  <c r="AR45" i="2"/>
  <c r="AR53" i="2" s="1"/>
  <c r="AR54" i="2" s="1"/>
  <c r="AR56" i="2" s="1"/>
  <c r="AR46" i="14"/>
  <c r="AS45" i="2"/>
  <c r="AS53" i="2" s="1"/>
  <c r="AS54" i="2" s="1"/>
  <c r="AS56" i="2" s="1"/>
  <c r="O45" i="2"/>
  <c r="O53" i="2" s="1"/>
  <c r="O54" i="2" s="1"/>
  <c r="O56" i="2" s="1"/>
  <c r="AV45" i="2"/>
  <c r="AV53" i="2" s="1"/>
  <c r="AV54" i="2" s="1"/>
  <c r="AV56" i="2" s="1"/>
  <c r="AO45" i="2"/>
  <c r="AO53" i="2" s="1"/>
  <c r="AO54" i="2" s="1"/>
  <c r="AO56" i="2" s="1"/>
  <c r="AU46" i="14"/>
  <c r="AP45" i="2"/>
  <c r="AP53" i="2" s="1"/>
  <c r="AP54" i="2" s="1"/>
  <c r="AP56" i="2" s="1"/>
  <c r="L46" i="14"/>
  <c r="AQ46" i="14"/>
  <c r="J46" i="14"/>
  <c r="D33" i="3"/>
  <c r="P45" i="2"/>
  <c r="P53" i="2" s="1"/>
  <c r="P54" i="2" s="1"/>
  <c r="P56" i="2" s="1"/>
  <c r="AM46" i="14"/>
  <c r="G46" i="14"/>
  <c r="G54" i="14" s="1"/>
  <c r="G56" i="14" s="1"/>
  <c r="G58" i="14" s="1"/>
  <c r="R45" i="2"/>
  <c r="R53" i="2" s="1"/>
  <c r="R54" i="2" s="1"/>
  <c r="R56" i="2" s="1"/>
  <c r="AX45" i="2"/>
  <c r="AX53" i="2" s="1"/>
  <c r="AX54" i="2" s="1"/>
  <c r="AX56" i="2" s="1"/>
  <c r="AJ46" i="14"/>
  <c r="AJ54" i="14" s="1"/>
  <c r="AJ56" i="14" s="1"/>
  <c r="AJ58" i="14" s="1"/>
  <c r="D46" i="14"/>
  <c r="U45" i="2"/>
  <c r="U53" i="2" s="1"/>
  <c r="U54" i="2" s="1"/>
  <c r="U56" i="2" s="1"/>
  <c r="BA45" i="2"/>
  <c r="BA53" i="2" s="1"/>
  <c r="BA54" i="2" s="1"/>
  <c r="BA56" i="2" s="1"/>
  <c r="AI46" i="14"/>
  <c r="AI54" i="14" s="1"/>
  <c r="AI56" i="14" s="1"/>
  <c r="AI58" i="14" s="1"/>
  <c r="C46" i="14"/>
  <c r="C54" i="14" s="1"/>
  <c r="C56" i="14" s="1"/>
  <c r="C58" i="14" s="1"/>
  <c r="V45" i="2"/>
  <c r="V53" i="2" s="1"/>
  <c r="V54" i="2" s="1"/>
  <c r="V56" i="2" s="1"/>
  <c r="BB45" i="2"/>
  <c r="BB53" i="2" s="1"/>
  <c r="BB54" i="2" s="1"/>
  <c r="BB56" i="2" s="1"/>
  <c r="C45" i="2"/>
  <c r="AF46" i="14"/>
  <c r="AF54" i="14" s="1"/>
  <c r="AF56" i="14" s="1"/>
  <c r="AF58" i="14" s="1"/>
  <c r="Y45" i="2"/>
  <c r="Y53" i="2" s="1"/>
  <c r="Y54" i="2" s="1"/>
  <c r="Y56" i="2" s="1"/>
  <c r="BE45" i="2"/>
  <c r="F45" i="2"/>
  <c r="AE46" i="14"/>
  <c r="AE54" i="14" s="1"/>
  <c r="AE56" i="14" s="1"/>
  <c r="AE58" i="14" s="1"/>
  <c r="Z45" i="2"/>
  <c r="Z53" i="2" s="1"/>
  <c r="Z54" i="2" s="1"/>
  <c r="Z56" i="2" s="1"/>
  <c r="BF45" i="2"/>
  <c r="G45" i="2"/>
  <c r="G53" i="2" s="1"/>
  <c r="G54" i="2" s="1"/>
  <c r="G56" i="2" s="1"/>
  <c r="AA45" i="2"/>
  <c r="BH45" i="2"/>
  <c r="I45" i="2"/>
  <c r="I53" i="2" s="1"/>
  <c r="I54" i="2" s="1"/>
  <c r="I56" i="2" s="1"/>
  <c r="AH46" i="14"/>
  <c r="B46" i="14"/>
  <c r="W45" i="2"/>
  <c r="W53" i="2" s="1"/>
  <c r="W54" i="2" s="1"/>
  <c r="W56" i="2" s="1"/>
  <c r="BC45" i="2"/>
  <c r="BC53" i="2" s="1"/>
  <c r="BC54" i="2" s="1"/>
  <c r="BC56" i="2" s="1"/>
  <c r="D45" i="2"/>
  <c r="AG46" i="14"/>
  <c r="AG54" i="14" s="1"/>
  <c r="AG56" i="14" s="1"/>
  <c r="AG58" i="14" s="1"/>
  <c r="X45" i="2"/>
  <c r="X53" i="2" s="1"/>
  <c r="X54" i="2" s="1"/>
  <c r="X56" i="2" s="1"/>
  <c r="BD45" i="2"/>
  <c r="BD53" i="2" s="1"/>
  <c r="BD54" i="2" s="1"/>
  <c r="BD56" i="2" s="1"/>
  <c r="E45" i="2"/>
  <c r="E53" i="2" s="1"/>
  <c r="E54" i="2" s="1"/>
  <c r="E56" i="2" s="1"/>
  <c r="BG45" i="2"/>
  <c r="H45" i="2"/>
  <c r="H53" i="2" s="1"/>
  <c r="H54" i="2" s="1"/>
  <c r="H56" i="2" s="1"/>
  <c r="BI46" i="14"/>
  <c r="BI54" i="14" s="1"/>
  <c r="BI56" i="14" s="1"/>
  <c r="BI58" i="14" s="1"/>
  <c r="BH46" i="14"/>
  <c r="BH54" i="14" s="1"/>
  <c r="BH56" i="14" s="1"/>
  <c r="BH58" i="14" s="1"/>
  <c r="AB46" i="14"/>
  <c r="AB54" i="14" s="1"/>
  <c r="AB56" i="14" s="1"/>
  <c r="AB58" i="14" s="1"/>
  <c r="AC45" i="2"/>
  <c r="BI45" i="2"/>
  <c r="J45" i="2"/>
  <c r="BG46" i="14"/>
  <c r="BG54" i="14" s="1"/>
  <c r="BG56" i="14" s="1"/>
  <c r="BG58" i="14" s="1"/>
  <c r="AA46" i="14"/>
  <c r="AA54" i="14" s="1"/>
  <c r="AA56" i="14" s="1"/>
  <c r="AA58" i="14" s="1"/>
  <c r="AD45" i="2"/>
  <c r="K45" i="2"/>
  <c r="K53" i="2" s="1"/>
  <c r="K54" i="2" s="1"/>
  <c r="K56" i="2" s="1"/>
  <c r="BF46" i="14"/>
  <c r="Z46" i="14"/>
  <c r="Z54" i="14" s="1"/>
  <c r="Z56" i="14" s="1"/>
  <c r="Z58" i="14" s="1"/>
  <c r="AD46" i="14"/>
  <c r="AC46" i="14"/>
  <c r="AC54" i="14" s="1"/>
  <c r="AC56" i="14" s="1"/>
  <c r="AC58" i="14" s="1"/>
  <c r="AB45" i="2"/>
  <c r="S45" i="2"/>
  <c r="S53" i="2" s="1"/>
  <c r="S54" i="2" s="1"/>
  <c r="S56" i="2" s="1"/>
  <c r="T45" i="2"/>
  <c r="T53" i="2" s="1"/>
  <c r="T54" i="2" s="1"/>
  <c r="T56" i="2" s="1"/>
  <c r="AH45" i="2"/>
  <c r="AE45" i="2"/>
  <c r="AF45" i="2"/>
  <c r="AG45" i="2"/>
  <c r="AW45" i="2"/>
  <c r="AW53" i="2" s="1"/>
  <c r="AW54" i="2" s="1"/>
  <c r="AW56" i="2" s="1"/>
  <c r="AY45" i="2"/>
  <c r="AY53" i="2" s="1"/>
  <c r="AY54" i="2" s="1"/>
  <c r="AY56" i="2" s="1"/>
  <c r="AZ45" i="2"/>
  <c r="AZ53" i="2" s="1"/>
  <c r="AZ54" i="2" s="1"/>
  <c r="AZ56" i="2" s="1"/>
  <c r="AL46" i="14"/>
  <c r="Y46" i="14"/>
  <c r="Y54" i="14" s="1"/>
  <c r="Y56" i="14" s="1"/>
  <c r="Y58" i="14" s="1"/>
  <c r="Q45" i="2"/>
  <c r="Q53" i="2" s="1"/>
  <c r="Q54" i="2" s="1"/>
  <c r="Q56" i="2" s="1"/>
  <c r="F46" i="14"/>
  <c r="F54" i="14" s="1"/>
  <c r="F56" i="14" s="1"/>
  <c r="F58" i="14" s="1"/>
  <c r="H46" i="14"/>
  <c r="H54" i="14" s="1"/>
  <c r="H56" i="14" s="1"/>
  <c r="H58" i="14" s="1"/>
  <c r="AN46" i="14"/>
  <c r="AN54" i="14" s="1"/>
  <c r="AN56" i="14" s="1"/>
  <c r="AN58" i="14" s="1"/>
  <c r="BD46" i="14"/>
  <c r="BD54" i="14" s="1"/>
  <c r="BD56" i="14" s="1"/>
  <c r="BD58" i="14" s="1"/>
  <c r="L45" i="2"/>
  <c r="L53" i="2" s="1"/>
  <c r="L54" i="2" s="1"/>
  <c r="L56" i="2" s="1"/>
  <c r="B45" i="2"/>
  <c r="B53" i="2" s="1"/>
  <c r="B54" i="2" s="1"/>
  <c r="B56" i="2" s="1"/>
  <c r="BE46" i="14"/>
  <c r="BE54" i="14" s="1"/>
  <c r="BE56" i="14" s="1"/>
  <c r="BE58" i="14" s="1"/>
  <c r="BC46" i="14"/>
  <c r="BC54" i="14" s="1"/>
  <c r="BC56" i="14" s="1"/>
  <c r="BC58" i="14" s="1"/>
  <c r="E46" i="14"/>
  <c r="E54" i="14" s="1"/>
  <c r="E56" i="14" s="1"/>
  <c r="E58" i="14" s="1"/>
  <c r="M45" i="2"/>
  <c r="M53" i="2" s="1"/>
  <c r="M54" i="2" s="1"/>
  <c r="M56" i="2" s="1"/>
  <c r="AK46" i="14"/>
  <c r="X46" i="14"/>
  <c r="W46" i="14"/>
  <c r="W54" i="14" s="1"/>
  <c r="W56" i="14" s="1"/>
  <c r="W58" i="14" s="1"/>
  <c r="K25" i="2" a="1"/>
  <c r="K25" i="2" s="1"/>
  <c r="K26" i="2" s="1"/>
  <c r="K28" i="2" s="1"/>
  <c r="L26" i="14" a="1"/>
  <c r="L26" i="14" s="1"/>
  <c r="L27" i="14"/>
  <c r="L29" i="14" s="1"/>
  <c r="D25" i="2" a="1"/>
  <c r="D25" i="2" s="1"/>
  <c r="D26" i="2" s="1"/>
  <c r="D28" i="2" s="1"/>
  <c r="M25" i="2" a="1"/>
  <c r="M25" i="2" s="1"/>
  <c r="M26" i="2" s="1"/>
  <c r="M28" i="2" s="1"/>
  <c r="I25" i="2" a="1"/>
  <c r="I25" i="2" s="1"/>
  <c r="I26" i="2" s="1"/>
  <c r="I28" i="2" s="1"/>
  <c r="G26" i="14" a="1"/>
  <c r="G26" i="14" s="1"/>
  <c r="G27" i="14"/>
  <c r="G29" i="14" s="1"/>
  <c r="B5" i="11"/>
  <c r="E21" i="10"/>
  <c r="H21" i="10"/>
  <c r="D21" i="10"/>
  <c r="F21" i="10"/>
  <c r="G21" i="10"/>
  <c r="F39" i="11"/>
  <c r="C39" i="11"/>
  <c r="H39" i="11"/>
  <c r="D39" i="11"/>
  <c r="D40" i="11" s="1"/>
  <c r="E39" i="11"/>
  <c r="E40" i="11" s="1"/>
  <c r="B39" i="11"/>
  <c r="B40" i="11" s="1"/>
  <c r="G39" i="11"/>
  <c r="G40" i="11" s="1"/>
  <c r="I27" i="14"/>
  <c r="I29" i="14" s="1"/>
  <c r="I26" i="14" a="1"/>
  <c r="I26" i="14" s="1"/>
  <c r="D26" i="14" a="1"/>
  <c r="D26" i="14" s="1"/>
  <c r="D27" i="14"/>
  <c r="D29" i="14" s="1"/>
  <c r="T54" i="14"/>
  <c r="C44" i="12"/>
  <c r="H26" i="14" a="1"/>
  <c r="H26" i="14" s="1"/>
  <c r="H27" i="14" s="1"/>
  <c r="H29" i="14" s="1"/>
  <c r="C26" i="14" a="1"/>
  <c r="C26" i="14" s="1"/>
  <c r="O23" i="14"/>
  <c r="O22" i="2"/>
  <c r="C25" i="2" a="1"/>
  <c r="C25" i="2" s="1"/>
  <c r="C26" i="2" s="1"/>
  <c r="B5" i="9"/>
  <c r="A10" i="7" a="1"/>
  <c r="C28" i="2" l="1"/>
  <c r="AK54" i="14"/>
  <c r="AK56" i="14"/>
  <c r="AK58" i="14" s="1"/>
  <c r="J53" i="2"/>
  <c r="J54" i="2" s="1"/>
  <c r="J56" i="2" s="1"/>
  <c r="D54" i="14"/>
  <c r="D56" i="14" s="1"/>
  <c r="D58" i="14" s="1"/>
  <c r="D35" i="3"/>
  <c r="F20" i="2"/>
  <c r="J21" i="14"/>
  <c r="J26" i="14" s="1" a="1"/>
  <c r="J26" i="14" s="1"/>
  <c r="J27" i="14" s="1"/>
  <c r="J29" i="14" s="1"/>
  <c r="J20" i="2"/>
  <c r="J25" i="2" s="1" a="1"/>
  <c r="J25" i="2" s="1"/>
  <c r="J26" i="2" s="1"/>
  <c r="J28" i="2" s="1"/>
  <c r="E20" i="2"/>
  <c r="F21" i="14"/>
  <c r="F26" i="14" s="1" a="1"/>
  <c r="F26" i="14" s="1"/>
  <c r="F27" i="14" s="1"/>
  <c r="F29" i="14" s="1"/>
  <c r="E21" i="14"/>
  <c r="H40" i="11"/>
  <c r="N54" i="14"/>
  <c r="N56" i="14"/>
  <c r="N58" i="14" s="1"/>
  <c r="F53" i="2"/>
  <c r="F54" i="2" s="1"/>
  <c r="F56" i="2" s="1"/>
  <c r="AK53" i="2"/>
  <c r="AK54" i="2" s="1"/>
  <c r="AK56" i="2" s="1"/>
  <c r="T56" i="14"/>
  <c r="T58" i="14" s="1"/>
  <c r="X56" i="14"/>
  <c r="X58" i="14" s="1"/>
  <c r="X54" i="14"/>
  <c r="O54" i="14"/>
  <c r="O56" i="14"/>
  <c r="O58" i="14" s="1"/>
  <c r="AM54" i="14"/>
  <c r="AM56" i="14" s="1"/>
  <c r="AM58" i="14" s="1"/>
  <c r="AD56" i="14"/>
  <c r="AD58" i="14" s="1"/>
  <c r="AD54" i="14"/>
  <c r="AL54" i="14"/>
  <c r="AL56" i="14" s="1"/>
  <c r="AL58" i="14" s="1"/>
  <c r="L54" i="14"/>
  <c r="L56" i="14" s="1"/>
  <c r="L58" i="14" s="1"/>
  <c r="C53" i="2"/>
  <c r="C54" i="2" s="1"/>
  <c r="C56" i="2" s="1"/>
  <c r="AD53" i="2"/>
  <c r="AD54" i="2" s="1"/>
  <c r="AD56" i="2" s="1"/>
  <c r="AC53" i="2"/>
  <c r="AC54" i="2" s="1"/>
  <c r="AC56" i="2" s="1"/>
  <c r="AG53" i="2"/>
  <c r="AG54" i="2" s="1"/>
  <c r="AG56" i="2" s="1"/>
  <c r="BG53" i="2"/>
  <c r="BG54" i="2" s="1"/>
  <c r="BG56" i="2" s="1"/>
  <c r="BF56" i="14"/>
  <c r="BF58" i="14" s="1"/>
  <c r="BF54" i="14"/>
  <c r="F40" i="11"/>
  <c r="BE53" i="2"/>
  <c r="BE54" i="2" s="1"/>
  <c r="BE56" i="2" s="1"/>
  <c r="AM53" i="2"/>
  <c r="AM54" i="2" s="1"/>
  <c r="AM56" i="2" s="1"/>
  <c r="BI53" i="2"/>
  <c r="BI54" i="2" s="1"/>
  <c r="BI56" i="2" s="1"/>
  <c r="AH54" i="14"/>
  <c r="AH56" i="14" s="1"/>
  <c r="AH58" i="14" s="1"/>
  <c r="Q54" i="14"/>
  <c r="Q56" i="14" s="1"/>
  <c r="Q58" i="14" s="1"/>
  <c r="J54" i="14"/>
  <c r="J56" i="14" s="1"/>
  <c r="J58" i="14" s="1"/>
  <c r="D53" i="2"/>
  <c r="D54" i="2" s="1"/>
  <c r="D56" i="2" s="1"/>
  <c r="AQ54" i="14"/>
  <c r="AQ56" i="14" s="1"/>
  <c r="AQ58" i="14" s="1"/>
  <c r="B54" i="14"/>
  <c r="B56" i="14" s="1"/>
  <c r="B58" i="14" s="1"/>
  <c r="AR56" i="14"/>
  <c r="AR58" i="14" s="1"/>
  <c r="AR54" i="14"/>
  <c r="BF53" i="2"/>
  <c r="BF54" i="2" s="1"/>
  <c r="BF56" i="2" s="1"/>
  <c r="AI53" i="2"/>
  <c r="AI54" i="2" s="1"/>
  <c r="AI56" i="2" s="1"/>
  <c r="D37" i="3"/>
  <c r="C5" i="11"/>
  <c r="H16" i="11" s="1"/>
  <c r="C16" i="11"/>
  <c r="G16" i="11"/>
  <c r="F16" i="11"/>
  <c r="B16" i="11"/>
  <c r="B28" i="11" s="1"/>
  <c r="B34" i="11" s="1"/>
  <c r="D16" i="11"/>
  <c r="E16" i="11"/>
  <c r="AU56" i="14"/>
  <c r="AU58" i="14" s="1"/>
  <c r="AU54" i="14"/>
  <c r="AW54" i="14"/>
  <c r="AW56" i="14" s="1"/>
  <c r="AW58" i="14" s="1"/>
  <c r="AE53" i="2"/>
  <c r="AE54" i="2" s="1"/>
  <c r="AE56" i="2" s="1"/>
  <c r="AA53" i="2"/>
  <c r="AA54" i="2" s="1"/>
  <c r="AA56" i="2" s="1"/>
  <c r="Y66" i="2"/>
  <c r="E44" i="11" s="1"/>
  <c r="C40" i="11"/>
  <c r="AJ53" i="2"/>
  <c r="AJ54" i="2" s="1"/>
  <c r="AJ56" i="2" s="1"/>
  <c r="AF53" i="2"/>
  <c r="AF54" i="2"/>
  <c r="AF56" i="2" s="1"/>
  <c r="BH53" i="2"/>
  <c r="BH54" i="2" s="1"/>
  <c r="BH56" i="2" s="1"/>
  <c r="AL53" i="2"/>
  <c r="AL54" i="2" s="1"/>
  <c r="AL56" i="2" s="1"/>
  <c r="AH53" i="2"/>
  <c r="AH54" i="2" s="1"/>
  <c r="AH56" i="2" s="1"/>
  <c r="C27" i="14"/>
  <c r="AB53" i="2"/>
  <c r="AB54" i="2" s="1"/>
  <c r="AB56" i="2" s="1"/>
  <c r="A10" i="7"/>
  <c r="B8" i="9"/>
  <c r="B5" i="10" s="1"/>
  <c r="B10" i="10" s="1"/>
  <c r="B22" i="12" l="1"/>
  <c r="B21" i="7"/>
  <c r="AK66" i="2"/>
  <c r="F44" i="11" s="1"/>
  <c r="M66" i="2"/>
  <c r="D44" i="11" s="1"/>
  <c r="BI66" i="2"/>
  <c r="H44" i="11" s="1"/>
  <c r="C29" i="14"/>
  <c r="C30" i="14" s="1"/>
  <c r="D30" i="14" s="1"/>
  <c r="E25" i="2" a="1"/>
  <c r="E25" i="2" s="1"/>
  <c r="O20" i="2"/>
  <c r="B10" i="9"/>
  <c r="L16" i="1"/>
  <c r="B42" i="3"/>
  <c r="B44" i="3" s="1"/>
  <c r="D42" i="3"/>
  <c r="D44" i="3" s="1"/>
  <c r="AW66" i="2"/>
  <c r="G44" i="11" s="1"/>
  <c r="B24" i="12"/>
  <c r="O21" i="14"/>
  <c r="E26" i="14" a="1"/>
  <c r="E26" i="14" s="1"/>
  <c r="O26" i="14" s="1"/>
  <c r="F25" i="2" a="1"/>
  <c r="F25" i="2" s="1"/>
  <c r="F26" i="2" s="1"/>
  <c r="F28" i="2" s="1"/>
  <c r="C29" i="2"/>
  <c r="D29" i="2" s="1"/>
  <c r="G32" i="9"/>
  <c r="E32" i="9"/>
  <c r="C32" i="9"/>
  <c r="D32" i="9"/>
  <c r="F32" i="9"/>
  <c r="H32" i="9"/>
  <c r="B32" i="9"/>
  <c r="B33" i="9" s="1"/>
  <c r="H9" i="1"/>
  <c r="E27" i="14" l="1"/>
  <c r="E26" i="2"/>
  <c r="O25" i="2"/>
  <c r="F33" i="9"/>
  <c r="C15" i="9"/>
  <c r="C17" i="9" s="1"/>
  <c r="C21" i="9" s="1"/>
  <c r="E15" i="10"/>
  <c r="E17" i="10" s="1"/>
  <c r="F15" i="10"/>
  <c r="F17" i="10" s="1"/>
  <c r="H15" i="10"/>
  <c r="H17" i="10" s="1"/>
  <c r="C15" i="10"/>
  <c r="C17" i="10" s="1"/>
  <c r="G15" i="10"/>
  <c r="G17" i="10" s="1"/>
  <c r="B8" i="10"/>
  <c r="B45" i="12"/>
  <c r="B47" i="12" s="1"/>
  <c r="D15" i="9"/>
  <c r="E15" i="9"/>
  <c r="E17" i="9" s="1"/>
  <c r="E21" i="9" s="1"/>
  <c r="E24" i="9" s="1"/>
  <c r="H15" i="9"/>
  <c r="H17" i="9" s="1"/>
  <c r="H21" i="9" s="1"/>
  <c r="H27" i="9" s="1"/>
  <c r="G15" i="9"/>
  <c r="G17" i="9" s="1"/>
  <c r="G21" i="9" s="1"/>
  <c r="D15" i="10"/>
  <c r="D17" i="10" s="1"/>
  <c r="F15" i="9"/>
  <c r="F17" i="9" s="1"/>
  <c r="F21" i="9" s="1"/>
  <c r="F24" i="9" s="1"/>
  <c r="L19" i="1"/>
  <c r="C45" i="12"/>
  <c r="C47" i="12" s="1"/>
  <c r="B8" i="11"/>
  <c r="G45" i="12"/>
  <c r="G47" i="12" s="1"/>
  <c r="H45" i="12"/>
  <c r="H47" i="12" s="1"/>
  <c r="E45" i="12"/>
  <c r="E47" i="12" s="1"/>
  <c r="D45" i="12"/>
  <c r="D47" i="12" s="1"/>
  <c r="F45" i="12"/>
  <c r="F47" i="12" s="1"/>
  <c r="D17" i="9"/>
  <c r="D21" i="9" s="1"/>
  <c r="D24" i="9" s="1"/>
  <c r="D33" i="9"/>
  <c r="B27" i="12"/>
  <c r="B28" i="12" s="1"/>
  <c r="B30" i="12" s="1"/>
  <c r="B37" i="12" s="1"/>
  <c r="H33" i="9"/>
  <c r="C24" i="9"/>
  <c r="C33" i="9"/>
  <c r="E33" i="9"/>
  <c r="G33" i="9"/>
  <c r="G24" i="9"/>
  <c r="G27" i="9"/>
  <c r="B36" i="12" l="1"/>
  <c r="D27" i="9"/>
  <c r="F27" i="9"/>
  <c r="F9" i="1"/>
  <c r="C27" i="9"/>
  <c r="E28" i="2"/>
  <c r="O26" i="2"/>
  <c r="G19" i="11"/>
  <c r="G21" i="11" s="1"/>
  <c r="G28" i="11" s="1"/>
  <c r="G34" i="11" s="1"/>
  <c r="C19" i="11"/>
  <c r="C21" i="11" s="1"/>
  <c r="C28" i="11" s="1"/>
  <c r="C34" i="11" s="1"/>
  <c r="E19" i="11"/>
  <c r="E21" i="11" s="1"/>
  <c r="E28" i="11" s="1"/>
  <c r="E34" i="11" s="1"/>
  <c r="D19" i="11"/>
  <c r="D21" i="11" s="1"/>
  <c r="D28" i="11" s="1"/>
  <c r="D34" i="11" s="1"/>
  <c r="H19" i="11"/>
  <c r="H21" i="11" s="1"/>
  <c r="H28" i="11" s="1"/>
  <c r="H34" i="11" s="1"/>
  <c r="H21" i="7" s="1"/>
  <c r="F19" i="11"/>
  <c r="F21" i="11" s="1"/>
  <c r="F28" i="11" s="1"/>
  <c r="F34" i="11" s="1"/>
  <c r="E27" i="9"/>
  <c r="E29" i="14"/>
  <c r="E30" i="14" s="1"/>
  <c r="O27" i="14"/>
  <c r="H24" i="9"/>
  <c r="G22" i="12" l="1"/>
  <c r="H23" i="1"/>
  <c r="F30" i="14"/>
  <c r="G30" i="14" s="1"/>
  <c r="H30" i="14" s="1"/>
  <c r="I30" i="14" s="1"/>
  <c r="J30" i="14" s="1"/>
  <c r="K30" i="14" s="1"/>
  <c r="L30" i="14" s="1"/>
  <c r="M30" i="14" s="1"/>
  <c r="N30" i="14" s="1"/>
  <c r="F22" i="12"/>
  <c r="G23" i="12" s="1"/>
  <c r="G23" i="1"/>
  <c r="D22" i="12"/>
  <c r="E23" i="1"/>
  <c r="D23" i="1"/>
  <c r="C22" i="12"/>
  <c r="O28" i="2"/>
  <c r="C44" i="11" s="1"/>
  <c r="E29" i="2"/>
  <c r="H22" i="12"/>
  <c r="I23" i="1"/>
  <c r="E22" i="12"/>
  <c r="F23" i="12" s="1"/>
  <c r="F24" i="12" s="1"/>
  <c r="F23" i="1"/>
  <c r="F29" i="2" l="1"/>
  <c r="G29" i="2" s="1"/>
  <c r="H29" i="2" s="1"/>
  <c r="I29" i="2" s="1"/>
  <c r="J29" i="2" s="1"/>
  <c r="K29" i="2" s="1"/>
  <c r="L29" i="2" s="1"/>
  <c r="M29" i="2" s="1"/>
  <c r="N29" i="2" s="1"/>
  <c r="D23" i="12"/>
  <c r="D24" i="12" s="1"/>
  <c r="C23" i="12"/>
  <c r="C24" i="12" s="1"/>
  <c r="E23" i="12"/>
  <c r="E24" i="12" s="1"/>
  <c r="B59" i="14"/>
  <c r="B78" i="14"/>
  <c r="H23" i="12"/>
  <c r="H24" i="12" s="1"/>
  <c r="G24" i="12"/>
  <c r="C13" i="12" l="1"/>
  <c r="C45" i="11"/>
  <c r="B76" i="2"/>
  <c r="B57" i="2"/>
  <c r="C59" i="14"/>
  <c r="D59" i="14" s="1"/>
  <c r="E59" i="14" s="1"/>
  <c r="F59" i="14" s="1"/>
  <c r="G59" i="14" s="1"/>
  <c r="H59" i="14" s="1"/>
  <c r="I59" i="14" s="1"/>
  <c r="J59" i="14" s="1"/>
  <c r="K59" i="14" s="1"/>
  <c r="L59" i="14" s="1"/>
  <c r="M59" i="14" s="1"/>
  <c r="B77" i="14"/>
  <c r="C57" i="2" l="1"/>
  <c r="D57" i="2" s="1"/>
  <c r="E57" i="2" s="1"/>
  <c r="F57" i="2" s="1"/>
  <c r="G57" i="2" s="1"/>
  <c r="H57" i="2" s="1"/>
  <c r="I57" i="2" s="1"/>
  <c r="J57" i="2" s="1"/>
  <c r="K57" i="2" s="1"/>
  <c r="L57" i="2" s="1"/>
  <c r="M57" i="2" s="1"/>
  <c r="B75" i="2"/>
  <c r="B79" i="14"/>
  <c r="T55" i="14"/>
  <c r="S55" i="14"/>
  <c r="Y55" i="14"/>
  <c r="Q55" i="14"/>
  <c r="N59" i="14"/>
  <c r="O59" i="14" s="1"/>
  <c r="P59" i="14" s="1"/>
  <c r="Q59" i="14" s="1"/>
  <c r="R59" i="14" s="1"/>
  <c r="S59" i="14" s="1"/>
  <c r="T59" i="14" s="1"/>
  <c r="U59" i="14" s="1"/>
  <c r="V59" i="14" s="1"/>
  <c r="W59" i="14" s="1"/>
  <c r="X59" i="14" s="1"/>
  <c r="Y59" i="14" s="1"/>
  <c r="Z59" i="14" s="1"/>
  <c r="AA59" i="14" s="1"/>
  <c r="AB59" i="14" s="1"/>
  <c r="AC59" i="14" s="1"/>
  <c r="AD59" i="14" s="1"/>
  <c r="AE59" i="14" s="1"/>
  <c r="AF59" i="14" s="1"/>
  <c r="AG59" i="14" s="1"/>
  <c r="AH59" i="14" s="1"/>
  <c r="AI59" i="14" s="1"/>
  <c r="AJ59" i="14" s="1"/>
  <c r="AK59" i="14" s="1"/>
  <c r="AL59" i="14" s="1"/>
  <c r="AM59" i="14" s="1"/>
  <c r="AN59" i="14" s="1"/>
  <c r="AO59" i="14" s="1"/>
  <c r="AP59" i="14" s="1"/>
  <c r="AQ59" i="14" s="1"/>
  <c r="AR59" i="14" s="1"/>
  <c r="AS59" i="14" s="1"/>
  <c r="AT59" i="14" s="1"/>
  <c r="AU59" i="14" s="1"/>
  <c r="AV59" i="14" s="1"/>
  <c r="AW59" i="14" s="1"/>
  <c r="AX59" i="14" s="1"/>
  <c r="AY59" i="14" s="1"/>
  <c r="AZ59" i="14" s="1"/>
  <c r="BA59" i="14" s="1"/>
  <c r="BB59" i="14" s="1"/>
  <c r="BC59" i="14" s="1"/>
  <c r="BD59" i="14" s="1"/>
  <c r="BE59" i="14" s="1"/>
  <c r="BF59" i="14" s="1"/>
  <c r="BG59" i="14" s="1"/>
  <c r="BH59" i="14" s="1"/>
  <c r="BI59" i="14" s="1"/>
  <c r="N55" i="14"/>
  <c r="O55" i="14"/>
  <c r="X55" i="14"/>
  <c r="W55" i="14"/>
  <c r="V55" i="14"/>
  <c r="U55" i="14"/>
  <c r="P55" i="14"/>
  <c r="R55" i="14"/>
  <c r="C38" i="12"/>
  <c r="C14" i="12"/>
  <c r="C16" i="12" s="1"/>
  <c r="C27" i="12" s="1"/>
  <c r="C28" i="12" s="1"/>
  <c r="D24" i="1"/>
  <c r="D45" i="11"/>
  <c r="C30" i="12" l="1"/>
  <c r="C37" i="12" s="1"/>
  <c r="C36" i="12"/>
  <c r="E24" i="1"/>
  <c r="E45" i="11"/>
  <c r="B77" i="2"/>
  <c r="D13" i="12"/>
  <c r="N57" i="2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E13" i="12" l="1"/>
  <c r="Z57" i="2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F24" i="1"/>
  <c r="F45" i="11"/>
  <c r="D14" i="12"/>
  <c r="D16" i="12" s="1"/>
  <c r="D27" i="12" s="1"/>
  <c r="D28" i="12" s="1"/>
  <c r="D38" i="12"/>
  <c r="G24" i="1" l="1"/>
  <c r="G45" i="11"/>
  <c r="D30" i="12"/>
  <c r="D37" i="12" s="1"/>
  <c r="D36" i="12"/>
  <c r="F13" i="12"/>
  <c r="AL57" i="2"/>
  <c r="AM57" i="2" s="1"/>
  <c r="AN57" i="2" s="1"/>
  <c r="AO57" i="2" s="1"/>
  <c r="AP57" i="2" s="1"/>
  <c r="AQ57" i="2" s="1"/>
  <c r="AR57" i="2" s="1"/>
  <c r="AS57" i="2" s="1"/>
  <c r="AT57" i="2" s="1"/>
  <c r="AU57" i="2" s="1"/>
  <c r="AV57" i="2" s="1"/>
  <c r="AW57" i="2" s="1"/>
  <c r="E38" i="12"/>
  <c r="E14" i="12"/>
  <c r="E16" i="12" s="1"/>
  <c r="E27" i="12" s="1"/>
  <c r="E28" i="12" s="1"/>
  <c r="AX57" i="2" l="1"/>
  <c r="AY57" i="2" s="1"/>
  <c r="AZ57" i="2" s="1"/>
  <c r="BA57" i="2" s="1"/>
  <c r="BB57" i="2" s="1"/>
  <c r="BC57" i="2" s="1"/>
  <c r="BD57" i="2" s="1"/>
  <c r="BE57" i="2" s="1"/>
  <c r="BF57" i="2" s="1"/>
  <c r="BG57" i="2" s="1"/>
  <c r="BH57" i="2" s="1"/>
  <c r="BI57" i="2" s="1"/>
  <c r="H13" i="12" s="1"/>
  <c r="G13" i="12"/>
  <c r="F38" i="12"/>
  <c r="F14" i="12"/>
  <c r="F16" i="12" s="1"/>
  <c r="F27" i="12" s="1"/>
  <c r="F28" i="12" s="1"/>
  <c r="E30" i="12"/>
  <c r="E37" i="12" s="1"/>
  <c r="E36" i="12"/>
  <c r="H24" i="1"/>
  <c r="H45" i="11"/>
  <c r="I24" i="1" s="1"/>
  <c r="F36" i="12" l="1"/>
  <c r="F30" i="12"/>
  <c r="F37" i="12" s="1"/>
  <c r="G14" i="12"/>
  <c r="G16" i="12" s="1"/>
  <c r="G27" i="12" s="1"/>
  <c r="G28" i="12" s="1"/>
  <c r="G38" i="12"/>
  <c r="H38" i="12"/>
  <c r="H14" i="12"/>
  <c r="H16" i="12" s="1"/>
  <c r="H27" i="12" s="1"/>
  <c r="H28" i="12" s="1"/>
  <c r="G30" i="12" l="1"/>
  <c r="G37" i="12" s="1"/>
  <c r="G36" i="12"/>
  <c r="H30" i="12"/>
  <c r="H37" i="12" s="1"/>
  <c r="H3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<sst xmlns="http://schemas.openxmlformats.org/spreadsheetml/2006/main" count="843" uniqueCount="464">
  <si>
    <t>PLUME PARAGLIDERS</t>
  </si>
  <si>
    <t>Business Plan 2025-2031 • Tableau de Bord Exécutif</t>
  </si>
  <si>
    <t>📊 INDICATEURS CLÉS</t>
  </si>
  <si>
    <t>💼 PLAN DE FINANCEMENT</t>
  </si>
  <si>
    <t>JB Chandelier</t>
  </si>
  <si>
    <t>55%</t>
  </si>
  <si>
    <t>Capital social</t>
  </si>
  <si>
    <t>Plan de financement</t>
  </si>
  <si>
    <t>Seuil rentabilité</t>
  </si>
  <si>
    <t>Marge nette/aile</t>
  </si>
  <si>
    <t>Thomas Pierre-Bes</t>
  </si>
  <si>
    <t>45%</t>
  </si>
  <si>
    <t>Emprunt 4 ans</t>
  </si>
  <si>
    <t>Avoir EURL JB (2027)</t>
  </si>
  <si>
    <t>📈 SCÉNARIOS DE VENTES (Nombre d'ailes)</t>
  </si>
  <si>
    <t>TOTAL</t>
  </si>
  <si>
    <t>📋 CHARGES FIXES / AN</t>
  </si>
  <si>
    <t>🟠 Réaliste</t>
  </si>
  <si>
    <t>Masse salariale</t>
  </si>
  <si>
    <t>🔴 Point Mort</t>
  </si>
  <si>
    <t>Investissement R&amp;D</t>
  </si>
  <si>
    <t>Exploitation</t>
  </si>
  <si>
    <t>🏦 EMPRUNT BANCAIRE</t>
  </si>
  <si>
    <t>Montant</t>
  </si>
  <si>
    <t>Durée</t>
  </si>
  <si>
    <t>4 ans</t>
  </si>
  <si>
    <t>Taux</t>
  </si>
  <si>
    <t>Échéance/an</t>
  </si>
  <si>
    <t>✅ POINTS CLÉS</t>
  </si>
  <si>
    <t>✓ Rentabilité dès 2027</t>
  </si>
  <si>
    <t>✓ Tréso toujours positive</t>
  </si>
  <si>
    <t>✓ Emprunt remboursé 2029</t>
  </si>
  <si>
    <t>Chiffre d'affaires</t>
  </si>
  <si>
    <t>Trésorerie cumulée</t>
  </si>
  <si>
    <t>📅 CRÉATION</t>
  </si>
  <si>
    <t>15 décembre 2025</t>
  </si>
  <si>
    <t>PLAN DE TRÉSORERIE MENSUEL - PLUME PARAGLIDERS</t>
  </si>
  <si>
    <t>Création : 15 décembre 2025 • Délais de financement réalistes</t>
  </si>
  <si>
    <t>📅 ANNÉE 2026 : LANCEMENT</t>
  </si>
  <si>
    <t>Déc 25</t>
  </si>
  <si>
    <t>Jan</t>
  </si>
  <si>
    <t>Fév</t>
  </si>
  <si>
    <t>Mar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</si>
  <si>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</si>
  <si>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</si>
  <si>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</si>
  <si>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</si>
  <si>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</si>
  <si>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</si>
  <si>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</si>
  <si>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</si>
  <si>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</si>
  <si>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ENTRÉES</t>
  </si>
  <si>
    <t>Comptes courants associés</t>
  </si>
  <si>
    <t>Emprunt bancaire</t>
  </si>
  <si>
    <t>CA Ventes (HT)</t>
  </si>
  <si>
    <t>Total entrées</t>
  </si>
  <si>
    <t>SORTIES</t>
  </si>
  <si>
    <t>Frais création</t>
  </si>
  <si>
    <t>Charges exploitation</t>
  </si>
  <si>
    <t>Pré-série homologation (10)</t>
  </si>
  <si>
    <t>Tests homologation EN</t>
  </si>
  <si>
    <t>Production</t>
  </si>
  <si>
    <t>Remboursement emprunt</t>
  </si>
  <si>
    <t>Assurance RC (0.8% CA)</t>
  </si>
  <si>
    <t>Total sorties</t>
  </si>
  <si>
    <t>FLUX MENSUEL</t>
  </si>
  <si>
    <t>TRÉSORERIE CUMULÉE</t>
  </si>
  <si>
    <t>📦 Volumes</t>
  </si>
  <si>
    <t>Production (nb ailes)</t>
  </si>
  <si>
    <t>Ventes (nb ailes)</t>
  </si>
  <si>
    <t>Stock fin de mois</t>
  </si>
  <si>
    <t>📅 ANNÉE 2027 : CROISSANCE</t>
  </si>
  <si>
    <t>Avoir EURL JB</t>
  </si>
  <si>
    <t>📊 SYNTHÈSE</t>
  </si>
  <si>
    <t>CALENDRIER FINANCEMENT</t>
  </si>
  <si>
    <t>15 Déc 2025 : Capital social 100 000 €</t>
  </si>
  <si>
    <t>Janvier 2026 : Comptes courants 89 000 €</t>
  </si>
  <si>
    <t>Mars 2026 : Emprunt bancaire 189 000 €</t>
  </si>
  <si>
    <t>Janvier 2027 : Avoir EURL JB 50 000 €</t>
  </si>
  <si>
    <t>💰 HYPOTHÈSES DE FINANCEMENT</t>
  </si>
  <si>
    <t>Date</t>
  </si>
  <si>
    <t>Source</t>
  </si>
  <si>
    <t>Délai / Justification</t>
  </si>
  <si>
    <t>15/12/2025</t>
  </si>
  <si>
    <t>Création de la société</t>
  </si>
  <si>
    <t>Janvier 2026</t>
  </si>
  <si>
    <t>Apport des associés dès création</t>
  </si>
  <si>
    <t>Mars 2026</t>
  </si>
  <si>
    <t>Emprunt Banque Populaire</t>
  </si>
  <si>
    <t>Délai 2-3 mois après création (accord + déblocage)</t>
  </si>
  <si>
    <t>Janvier 2027</t>
  </si>
  <si>
    <t>Apport complémentaire prévu</t>
  </si>
  <si>
    <t>📝 NOTE MÉTHODOLOGIQUE (TVA) :</t>
  </si>
  <si>
    <t>Le plan de trésorerie est volontairement présenté en HT. Étant en phase de croissance,</t>
  </si>
  <si>
    <t>le décalage de TVA (TVA collectée sur ventes &gt; TVA déductible sur achats) générera un excédent</t>
  </si>
  <si>
    <t>de trésorerie structurel (BFR négatif sur la partie fiscale). La présentation HT constitue donc</t>
  </si>
  <si>
    <t>un scénario 'conservateur' qui sécurise les besoins de financement.</t>
  </si>
  <si>
    <t>PLUME PARAGLIDERS - CHARGES FIXES</t>
  </si>
  <si>
    <t>1. FRAIS DE LANCEMENT (One-shot)</t>
  </si>
  <si>
    <t>Poste</t>
  </si>
  <si>
    <t>Montant (€)</t>
  </si>
  <si>
    <t>Charte Graphique</t>
  </si>
  <si>
    <t>Création d'entreprise (Avocat)</t>
  </si>
  <si>
    <t>SOUS-TOTAL LANCEMENT</t>
  </si>
  <si>
    <t>Note: Abattement ZFRR + ACRE appliqué</t>
  </si>
  <si>
    <t>Collaborateur</t>
  </si>
  <si>
    <t>Nb mois</t>
  </si>
  <si>
    <t>Type</t>
  </si>
  <si>
    <t>Charge annuelle (€)</t>
  </si>
  <si>
    <t>Prestation</t>
  </si>
  <si>
    <t>Salaire</t>
  </si>
  <si>
    <t>SOUS-TOTAL MASSE SALARIALE</t>
  </si>
  <si>
    <t>Catégorie</t>
  </si>
  <si>
    <t>Montant (€/an)</t>
  </si>
  <si>
    <t>OVH Website</t>
  </si>
  <si>
    <t>License</t>
  </si>
  <si>
    <t>Déplacements / Nourriture / Logement</t>
  </si>
  <si>
    <t>Déplacement</t>
  </si>
  <si>
    <t>Adobe</t>
  </si>
  <si>
    <t>Logiciel</t>
  </si>
  <si>
    <t>Dropbox</t>
  </si>
  <si>
    <t>Loyer</t>
  </si>
  <si>
    <t>Frais fixe</t>
  </si>
  <si>
    <t>Notion</t>
  </si>
  <si>
    <t>Gestion</t>
  </si>
  <si>
    <t>AI Assistant</t>
  </si>
  <si>
    <t>Art List</t>
  </si>
  <si>
    <t>Glider Plan</t>
  </si>
  <si>
    <t>Investissement matériel</t>
  </si>
  <si>
    <t>Achat</t>
  </si>
  <si>
    <t>Comptabilité</t>
  </si>
  <si>
    <t>SOUS-TOTAL EXPLOITATION</t>
  </si>
  <si>
    <t>Nb protos</t>
  </si>
  <si>
    <t>Prix unitaire (€)</t>
  </si>
  <si>
    <t>Coût total (€)</t>
  </si>
  <si>
    <t>Proto recherche</t>
  </si>
  <si>
    <t>Veille concurrentielle</t>
  </si>
  <si>
    <t>Pré-série homologation</t>
  </si>
  <si>
    <t>Homologation</t>
  </si>
  <si>
    <t>SOUS-TOTAL R&amp;D</t>
  </si>
  <si>
    <t>RÉCAPITULATIF GÉNÉRAL</t>
  </si>
  <si>
    <t>Masse salariale annuelle</t>
  </si>
  <si>
    <t>Charges d'exploitation annuelles</t>
  </si>
  <si>
    <t>Investissement R&amp;D annuel</t>
  </si>
  <si>
    <t>TOTAL CHARGES FIXES ANNÉE 1</t>
  </si>
  <si>
    <t>EMPRUNT BANCAIRE - PLUME PARAGLIDERS</t>
  </si>
  <si>
    <t>CARACTÉRISTIQUES DU PRÊT</t>
  </si>
  <si>
    <t>Montant de l'emprunt</t>
  </si>
  <si>
    <t>ans</t>
  </si>
  <si>
    <t>Taux d'intérêt</t>
  </si>
  <si>
    <t>Taux d'assurance</t>
  </si>
  <si>
    <t>ÉCHÉANCIER DE REMBOURSEMENT</t>
  </si>
  <si>
    <t>Période</t>
  </si>
  <si>
    <t>Prêt Annuel (€)</t>
  </si>
  <si>
    <t>Assurance Annuelle (€)</t>
  </si>
  <si>
    <t>Total Annuel (€)</t>
  </si>
  <si>
    <t>Mois 1 - 48</t>
  </si>
  <si>
    <t>SYNTHÈSE SUR 4 ANS</t>
  </si>
  <si>
    <t>Mensualité totale</t>
  </si>
  <si>
    <t>Coût total du crédit</t>
  </si>
  <si>
    <t>dont Intérêts</t>
  </si>
  <si>
    <t>dont Assurance</t>
  </si>
  <si>
    <t>IMPACT ANNUEL SUR TRÉSORERIE</t>
  </si>
  <si>
    <t>Charge annuelle de remboursement</t>
  </si>
  <si>
    <t>DÉTAIL MENSUALITÉ CORRIGÉ</t>
  </si>
  <si>
    <t>Mensualité prêt (capital + intérêts)</t>
  </si>
  <si>
    <t>Assurance mensuelle</t>
  </si>
  <si>
    <t>TOTAL MENSUALITÉ</t>
  </si>
  <si>
    <t>Charge annuelle totale</t>
  </si>
  <si>
    <t>Coût total sur 4 ans</t>
  </si>
  <si>
    <t>INTÉRÊTS ANNUELS (pour Compte de Résultat)</t>
  </si>
  <si>
    <t>Année</t>
  </si>
  <si>
    <t>Intérêts</t>
  </si>
  <si>
    <t>Assurance</t>
  </si>
  <si>
    <t>Total charges fin.</t>
  </si>
  <si>
    <t>Note</t>
  </si>
  <si>
    <t>Total intérêts</t>
  </si>
  <si>
    <t>Note: Seuls les intérêts sont des charges dans le Compte de Résultat.</t>
  </si>
  <si>
    <t>Le remboursement du capital reste dans le Plan de Trésorerie.</t>
  </si>
  <si>
    <t>━━━━━━━━━━━━━━━━━━━━━━━━━━━━━━━━━━━━━━━━━━━━━━━━━━━━━━━━━━━━━━━━</t>
  </si>
  <si>
    <t>TABLEAU D'AMORTISSEMENT - CAPITAL RESTANT DÛ (CRD)</t>
  </si>
  <si>
    <t>Fin d'année</t>
  </si>
  <si>
    <t>Capital remboursé</t>
  </si>
  <si>
    <t>Intérêts payés</t>
  </si>
  <si>
    <t>CRD fin période</t>
  </si>
  <si>
    <t>2025 (déblocage mars)</t>
  </si>
  <si>
    <t>2026</t>
  </si>
  <si>
    <t>2027</t>
  </si>
  <si>
    <t>2028</t>
  </si>
  <si>
    <t>2029</t>
  </si>
  <si>
    <t>📌 Réconciliation avec le Bilan Prévisionnel :</t>
  </si>
  <si>
    <t xml:space="preserve">   Le CRD fin 2025 = 189 000€ (déblocage prévu mars 2026)</t>
  </si>
  <si>
    <t xml:space="preserve">   Le CRD fin 2026 = 144 882€ (≈ 157 500€ avec décalage versement)</t>
  </si>
  <si>
    <t xml:space="preserve">   Note: Le bilan utilise des CRD ajustés pour le décalage comptable</t>
  </si>
  <si>
    <t>CHARGES VARIABLES - PLUME PARAGLIDERS</t>
  </si>
  <si>
    <t>Charges liées au chiffre d'affaires</t>
  </si>
  <si>
    <t>CHARGES VARIABLES</t>
  </si>
  <si>
    <t>Base de calcul</t>
  </si>
  <si>
    <t>Pourcentage</t>
  </si>
  <si>
    <t>Ré-investissement 30% du bénéfice</t>
  </si>
  <si>
    <t>Bénéfice</t>
  </si>
  <si>
    <t>Stock</t>
  </si>
  <si>
    <t>Nb voiles vendues (forecast)</t>
  </si>
  <si>
    <t>-</t>
  </si>
  <si>
    <t>Note: L'assurance RC Produit (0.8% du CA) est une estimation.</t>
  </si>
  <si>
    <t>MARGES PRODUITS - PLUME PARAGLIDERS</t>
  </si>
  <si>
    <t>1. VENTE SCHOOL PACK (Vente directe écoles)</t>
  </si>
  <si>
    <t>Paiement immédiat via site PLUME</t>
  </si>
  <si>
    <t>Modèle</t>
  </si>
  <si>
    <t>A+ Classic</t>
  </si>
  <si>
    <t>Prix de vente TTC</t>
  </si>
  <si>
    <t>Prix de vente HT</t>
  </si>
  <si>
    <t>Marge Partenaire</t>
  </si>
  <si>
    <t>Prix usine (aile + bags + goodies)</t>
  </si>
  <si>
    <t>Coûts logistiques</t>
  </si>
  <si>
    <t>Taxes import (2.7%)</t>
  </si>
  <si>
    <t>Frais Stripe</t>
  </si>
  <si>
    <t>MARGE BRUTE (€)</t>
  </si>
  <si>
    <t>MARGE BRUTE (%)</t>
  </si>
  <si>
    <t>2. VENTE B2C2B (Site internet avec partenaires)</t>
  </si>
  <si>
    <t>Marge partenaire : 20% du prix HT</t>
  </si>
  <si>
    <t>B- Ultra</t>
  </si>
  <si>
    <t>K2- Ultra</t>
  </si>
  <si>
    <t>Marge Partenaire (20%)</t>
  </si>
  <si>
    <t>Canal de vente</t>
  </si>
  <si>
    <t>Produit</t>
  </si>
  <si>
    <t>Marge €</t>
  </si>
  <si>
    <t>School Pack</t>
  </si>
  <si>
    <t>B2C2B</t>
  </si>
  <si>
    <t>SCÉNARIOS DE VENTES - PLUME PARAGLIDERS</t>
  </si>
  <si>
    <t>VOLUMES DE VENTES (Nombre d'ailes)</t>
  </si>
  <si>
    <t>🟠 RÉALISTE</t>
  </si>
  <si>
    <t>🔴 POINT MORT (minimum syndical)</t>
  </si>
  <si>
    <t>SCÉNARIO RÉALISTE - DÉTAIL</t>
  </si>
  <si>
    <t>Volume TOTAL</t>
  </si>
  <si>
    <t>CA TOTAL (HT)</t>
  </si>
  <si>
    <t>COMPARAISON CA TOTAL (HT)</t>
  </si>
  <si>
    <t>🟠 CA Réaliste</t>
  </si>
  <si>
    <t>📌 STRATÉGIE PLAFOND 1000 AILES</t>
  </si>
  <si>
    <t>Au-delà de 1000 ailes/an, l'objectif n'est plus d'augmenter le volume mais la marge.</t>
  </si>
  <si>
    <t>Stratégie : produire légèrement moins que la demande pour valoriser le produit et augmenter le prix.</t>
  </si>
  <si>
    <t>Cette limitation volontaire de la production permet de renforcer le positionnement premium.</t>
  </si>
  <si>
    <t>FINANCEMENT &amp; MONTAGE SOCIÉTÉ - PLUME PARAGLIDERS</t>
  </si>
  <si>
    <t>MONTAGE SOCIÉTÉ - CAPITAL SOCIAL</t>
  </si>
  <si>
    <t>Associé / Source</t>
  </si>
  <si>
    <t>Apport total</t>
  </si>
  <si>
    <t>Part capital</t>
  </si>
  <si>
    <t>Jean-Baptiste Chandelier</t>
  </si>
  <si>
    <t>Sous-total Associés</t>
  </si>
  <si>
    <t>FINANCEMENTS EXTERNES</t>
  </si>
  <si>
    <t>Banque Populaire - Emprunt 1/1</t>
  </si>
  <si>
    <t>2025</t>
  </si>
  <si>
    <t>Sous-total Financements Externes</t>
  </si>
  <si>
    <t>APPORT COMPLÉMENTAIRE ANNÉE 2</t>
  </si>
  <si>
    <t>Objet</t>
  </si>
  <si>
    <t>Avoir EURL JB Chandelier</t>
  </si>
  <si>
    <t>Marketing &amp; Tests</t>
  </si>
  <si>
    <t>Note: Prestation externe pour fonds de roulement</t>
  </si>
  <si>
    <t>RÉCAPITULATIF FINANCEMENT TOTAL</t>
  </si>
  <si>
    <t>Apports associés (Année 1)</t>
  </si>
  <si>
    <t>Financements externes (Année 1)</t>
  </si>
  <si>
    <t>Avoir EURL JB Chandelier (Année 2)</t>
  </si>
  <si>
    <t>TOTAL FINANCEMENT</t>
  </si>
  <si>
    <t>FLUX DE FINANCEMENT PAR ANNÉE</t>
  </si>
  <si>
    <t>Entrées</t>
  </si>
  <si>
    <t>Détail</t>
  </si>
  <si>
    <t>Associés + Emprunt</t>
  </si>
  <si>
    <t>2028+</t>
  </si>
  <si>
    <t>CAPITAL SOCIAL DE LA SOCIÉTÉ</t>
  </si>
  <si>
    <t>Capital social total</t>
  </si>
  <si>
    <t>Répartition: JB Chandelier 55% / Thomas Pierre-Bes 45%</t>
  </si>
  <si>
    <t>Note: La différence entre apports totaux (189k€) et capital social (100k€)</t>
  </si>
  <si>
    <t>correspond aux comptes courants d'associés (89k€).</t>
  </si>
  <si>
    <t>📅 CALENDRIER DE DÉBLOCAGE (Création 15/12/2025)</t>
  </si>
  <si>
    <t>━━━━━━━━━━━━━━━━━━━━━━━━━━━━━━━━━━━━━━━━━━━━━━━━━━━━━━━━━━━━━━</t>
  </si>
  <si>
    <t>💼 FINANCEMENT COMPLÉMENTAIRE - 30 000 €</t>
  </si>
  <si>
    <t>PRÉSENTATION COMPTABLE RETENUE :</t>
  </si>
  <si>
    <t>Dans le bilan prévisionnel, ce montant est présenté comme :</t>
  </si>
  <si>
    <t xml:space="preserve">   → APPORT EN COMPTE COURANT D'ASSOCIÉ (dirigeant)</t>
  </si>
  <si>
    <t xml:space="preserve">   → Classé dans les Capitaux Propres (quasi-fonds propres)</t>
  </si>
  <si>
    <t xml:space="preserve">   → Sans modification de la répartition du capital social</t>
  </si>
  <si>
    <t>VARIANTE - SI SUBVENTION BPIFRANCE OBTENUE :</t>
  </si>
  <si>
    <t>En cas d'obtention d'une subvention Bpifrance (Aide à l'innovation) :</t>
  </si>
  <si>
    <t xml:space="preserve">   → Ce montant serait reclassé en 'Subvention d'investissement'</t>
  </si>
  <si>
    <t xml:space="preserve">   → Comptabilisation selon PCG art. 312-1 et suivants</t>
  </si>
  <si>
    <t xml:space="preserve">   → Étalement possible au rythme de l'amortissement des actifs financés</t>
  </si>
  <si>
    <t>ENGAGEMENT DU DIRIGEANT</t>
  </si>
  <si>
    <t>En l'absence d'obtention de la subvention Bpifrance :</t>
  </si>
  <si>
    <t xml:space="preserve">   • JB Chandelier s'engage à réaliser un apport complémentaire de 30 000 €</t>
  </si>
  <si>
    <t xml:space="preserve">   • Apport en compte courant d'associé, sans intérêts</t>
  </si>
  <si>
    <t xml:space="preserve">   • Échéance : T1 2026</t>
  </si>
  <si>
    <t xml:space="preserve">   • Cet engagement garantit la viabilité du plan de financement</t>
  </si>
  <si>
    <t>RÉCAPITULATIF PLAN DE FINANCEMENT</t>
  </si>
  <si>
    <t>Financement de base</t>
  </si>
  <si>
    <t xml:space="preserve">   Apports associés</t>
  </si>
  <si>
    <t>(JB 104k + Thomas 85k)</t>
  </si>
  <si>
    <t xml:space="preserve">   Emprunt bancaire</t>
  </si>
  <si>
    <t>(4 ans, 4.5%)</t>
  </si>
  <si>
    <t xml:space="preserve">   Avoir EURL JB (2027)</t>
  </si>
  <si>
    <t>Sous-total base</t>
  </si>
  <si>
    <t>Financement complémentaire</t>
  </si>
  <si>
    <t xml:space="preserve">   Apport CC dirigeant (ou subvention BPI)</t>
  </si>
  <si>
    <t>TOTAL PLAN DE FINANCEMENT</t>
  </si>
  <si>
    <t>SEUIL DE RENTABILITÉ &amp; BFR - PLUME PARAGLIDERS</t>
  </si>
  <si>
    <t>PARAMÈTRES DE BASE</t>
  </si>
  <si>
    <t>Coût de revient par aile</t>
  </si>
  <si>
    <t>Assurance par aile (0.8% du prix)</t>
  </si>
  <si>
    <t>Marge nette par aile (marge - assurance)</t>
  </si>
  <si>
    <t>Stock cible (% des ventes)</t>
  </si>
  <si>
    <t>Charges fixes annuelles (réf Charges Fixes D50)</t>
  </si>
  <si>
    <t>CALCUL PAR ANNÉE</t>
  </si>
  <si>
    <t>Charges fixes exploitation</t>
  </si>
  <si>
    <t>Intérêts financiers (2026-2029)</t>
  </si>
  <si>
    <t>TOTAL CHARGES FIXES</t>
  </si>
  <si>
    <t>🔵 SEUIL DE RENTABILITÉ</t>
  </si>
  <si>
    <t>Seuil = Charges Fixes / Marge nette par aile</t>
  </si>
  <si>
    <t>SEUIL (nb ailes pour équilibre exploitation)</t>
  </si>
  <si>
    <t>COMPARAISON AVEC SCÉNARIOS</t>
  </si>
  <si>
    <t>🔵 Seuil de rentabilité</t>
  </si>
  <si>
    <t>🟠 Scénario Réaliste</t>
  </si>
  <si>
    <t>Écart Réaliste vs Seuil</t>
  </si>
  <si>
    <t>BFR - GESTION DU STOCK (Scénario Réaliste)</t>
  </si>
  <si>
    <t>Stock = 50% des ventes. Variation = achat ou vente de stock.</t>
  </si>
  <si>
    <t>Stock cible (nb ailes = 50% ventes)</t>
  </si>
  <si>
    <t>Stock cible (€ = nb ailes × coût)</t>
  </si>
  <si>
    <t>Variation stock (+ = investir / - = récupérer)</t>
  </si>
  <si>
    <t>💡 Si ventes baissent → stock cible baisse → on revend du stock → tréso +</t>
  </si>
  <si>
    <t>💡 Si ventes augmentent → stock cible augmente → on achète du stock → tréso -</t>
  </si>
  <si>
    <t>SCÉNARIO POINT MORT - MINIMUM SYNDICAL</t>
  </si>
  <si>
    <t>Objectif : Trésorerie cumulée ≥ 0 € (survie)</t>
  </si>
  <si>
    <t>PARAMÈTRES</t>
  </si>
  <si>
    <t>Marge nette par aile</t>
  </si>
  <si>
    <t>Stock cible (%)</t>
  </si>
  <si>
    <t>Charges fixes annuelles</t>
  </si>
  <si>
    <t>Marge après BFR initial (marge - 50%×coût)</t>
  </si>
  <si>
    <t>SCÉNARIO POINT MORT</t>
  </si>
  <si>
    <t>Apports</t>
  </si>
  <si>
    <t>Stock cible (€)</t>
  </si>
  <si>
    <t>Flux de trésorerie</t>
  </si>
  <si>
    <t>COMPTE DE RÉSULTAT PRÉVISIONNEL - SCÉNARIO RÉALISTE</t>
  </si>
  <si>
    <t>Prix moyen HT par aile</t>
  </si>
  <si>
    <t>Marge brute par aile</t>
  </si>
  <si>
    <t>CHIFFRE D'AFFAIRES</t>
  </si>
  <si>
    <t>Volumes vendus</t>
  </si>
  <si>
    <t>CA TOTAL HT</t>
  </si>
  <si>
    <t>MARGE BRUTE</t>
  </si>
  <si>
    <t>Marge brute totale</t>
  </si>
  <si>
    <t>CHARGES FIXES</t>
  </si>
  <si>
    <t>Assurance (0.8% du CA)</t>
  </si>
  <si>
    <t>TOTAL CHARGES VARIABLES</t>
  </si>
  <si>
    <t>RÉSULTAT D'EXPLOITATION</t>
  </si>
  <si>
    <t>Résultat avant réinvestissement</t>
  </si>
  <si>
    <t>RÉSULTAT NET</t>
  </si>
  <si>
    <t>BFR - VARIATION DE STOCK</t>
  </si>
  <si>
    <t>💡 + = investir dans le stock / - = récupérer du stock</t>
  </si>
  <si>
    <t>Variation stock (impact trésorerie)</t>
  </si>
  <si>
    <t>TRÉSORERIE</t>
  </si>
  <si>
    <t>BILAN PRÉVISIONNEL - PLUME PARAGLIDERS</t>
  </si>
  <si>
    <t>Projection sur 7 ans (2025-2031) - Scénario Réaliste</t>
  </si>
  <si>
    <t>ACTIF</t>
  </si>
  <si>
    <t>Immobilisations incorporelles (R&amp;D capitalisée)</t>
  </si>
  <si>
    <t>Immobilisations corporelles (Matériel)</t>
  </si>
  <si>
    <t>TOTAL ACTIF IMMOBILISÉ</t>
  </si>
  <si>
    <t>Stocks (ailes de démonstration)</t>
  </si>
  <si>
    <t>Créances clients</t>
  </si>
  <si>
    <t>Trésorerie disponible</t>
  </si>
  <si>
    <t>TOTAL ACTIF CIRCULANT</t>
  </si>
  <si>
    <t>TOTAL ACTIF</t>
  </si>
  <si>
    <t>PASSIF</t>
  </si>
  <si>
    <t>Avoir EURL JB Chandelier (compte courant)</t>
  </si>
  <si>
    <t>Résultat de l'exercice</t>
  </si>
  <si>
    <t>Report à nouveau (résultats antérieurs)</t>
  </si>
  <si>
    <t>TOTAL CAPITAUX PROPRES</t>
  </si>
  <si>
    <t>Apport complémentaire dirigeant *</t>
  </si>
  <si>
    <t>Emprunt bancaire (capital restant dû)</t>
  </si>
  <si>
    <t>Dettes d'exploitation</t>
  </si>
  <si>
    <t>TOTAL DETTES</t>
  </si>
  <si>
    <t>TOTAL PASSIF</t>
  </si>
  <si>
    <t>━━━━━━━━━━━━━━━━━━━━━━━━━━━━━━━━━━━━━━━━━━━━━━━━━━━━━━━━━━━━━━━━━━━━━━━━━━━━━━</t>
  </si>
  <si>
    <t>📊 RATIOS FINANCIERS</t>
  </si>
  <si>
    <t>2030</t>
  </si>
  <si>
    <t>2031</t>
  </si>
  <si>
    <t>Ratio d'endettement (Dettes/CP)</t>
  </si>
  <si>
    <t>Autonomie financière (CP/Total)</t>
  </si>
  <si>
    <t>Trésorerie disponible (k€)</t>
  </si>
  <si>
    <t>📋 VENTILATION DES DETTES</t>
  </si>
  <si>
    <t>Emprunt bancaire (CRD)</t>
  </si>
  <si>
    <t>Dettes fournisseurs (stock)</t>
  </si>
  <si>
    <t>Charges à payer</t>
  </si>
  <si>
    <t>Autres dettes (TVA, PCA, régul.)</t>
  </si>
  <si>
    <t>📝 NOTES</t>
  </si>
  <si>
    <t>* Montant conditionnel (30k€) : présenté ici comme apport CC dirigeant.</t>
  </si>
  <si>
    <t xml:space="preserve">  Si subvention BPI obtenue, ce montant sera reclassé en subvention d'investissement.</t>
  </si>
  <si>
    <t xml:space="preserve">  Dans les deux cas : pas de modification de la structure actionnariale (55%/45%).</t>
  </si>
  <si>
    <t>• Avoir EURL JB (50k€) : versement prévu janvier 2027</t>
  </si>
  <si>
    <t>* Ventilation indicative des dettes d'exploitation (délais standards 30j)</t>
  </si>
  <si>
    <t>Prix usine ( aile+sac+goodies)</t>
  </si>
  <si>
    <t xml:space="preserve">Proportions des ventes </t>
  </si>
  <si>
    <t xml:space="preserve">3. Hypothèse 1 de la répartition des ventes </t>
  </si>
  <si>
    <t>Hypothese 1: prix moyenne / produit</t>
  </si>
  <si>
    <t>Prix HT</t>
  </si>
  <si>
    <t xml:space="preserve">Prix moyen HT </t>
  </si>
  <si>
    <t xml:space="preserve">Marge brute par aile </t>
  </si>
  <si>
    <t>Cout de reviens</t>
  </si>
  <si>
    <t>Total des couts de reviens</t>
  </si>
  <si>
    <t>Frais payment</t>
  </si>
  <si>
    <t>1. MASSE SALARIALE ANNUELLE</t>
  </si>
  <si>
    <t>2. CHARGES D'EXPLOITATION ANNUELLES (hors masse salariale)</t>
  </si>
  <si>
    <t>3. INVESTISSEMENT R&amp;D ANNUEL</t>
  </si>
  <si>
    <t>Intérêts financiers + assurance prêt (2026-2029)</t>
  </si>
  <si>
    <t>Frais prototype</t>
  </si>
  <si>
    <t>✅ Point bas trésorerie :</t>
  </si>
  <si>
    <t>✅ Trésorerie fin 2026</t>
  </si>
  <si>
    <t xml:space="preserve">✅ Trésorerie fin 2027 </t>
  </si>
  <si>
    <t>imprévue: 15% de total sortie</t>
  </si>
  <si>
    <t>lancement</t>
  </si>
  <si>
    <t>📅 ANNÉE 2028 : CROISSANCE</t>
  </si>
  <si>
    <t>📅 ANNÉE 2029 : CROISSANCE</t>
  </si>
  <si>
    <t>📅 ANNÉE 2030 : CROISSANCE</t>
  </si>
  <si>
    <t>📅 ANNÉE 2031 : CROISSANCE</t>
  </si>
  <si>
    <t>vente</t>
  </si>
  <si>
    <t>production</t>
  </si>
  <si>
    <t xml:space="preserve">Information: Le prix de nos produits sera augmenté de 5 % le jour où on aura atteint le barier de 1000 ventes par an.
Et si la demande est forte, ça sera augmenté de 5 % par an jusqu'à atteindre un équilibre entre la demande et les ventes </t>
  </si>
  <si>
    <t xml:space="preserve">Réinvestissement d'hiver si année-1 positif </t>
  </si>
  <si>
    <t>Charges fixes (€)</t>
  </si>
  <si>
    <t>Remboursement emprunt (€)</t>
  </si>
  <si>
    <t>Total sorties fixes (€)</t>
  </si>
  <si>
    <t>🎯 VENTES MINIMUM (ailes)</t>
  </si>
  <si>
    <t>Marge brute générée (€)</t>
  </si>
  <si>
    <t>Variation stock (€)</t>
  </si>
  <si>
    <t>FLUX DE TRÉSORERIE (€)</t>
  </si>
  <si>
    <t>TRÉSORERIE CUMULÉE (€)</t>
  </si>
  <si>
    <t>INDICATEURS</t>
  </si>
  <si>
    <t>Seuil rentabilité (ailes)</t>
  </si>
  <si>
    <t>Écart ventes vs seuil</t>
  </si>
  <si>
    <t>RÉSUMÉ</t>
  </si>
  <si>
    <t>Total ventes (7 ans)</t>
  </si>
  <si>
    <t>Moyenne annuelle (hors 2025)</t>
  </si>
  <si>
    <t>Trésorerie finale</t>
  </si>
  <si>
    <t>Trésorerie minimum</t>
  </si>
  <si>
    <t>📅 CALENDRIER DES APPORTS</t>
  </si>
  <si>
    <t>• Déc 2025 : Capital social = 100 000€</t>
  </si>
  <si>
    <t>• Jan 2026 : Comptes courants associés = 89 000€</t>
  </si>
  <si>
    <t>• Mar 2026 : Emprunt Banque Populaire = 189 000€</t>
  </si>
  <si>
    <t>• Jan 2027 : Avoir EURL JB = 50 000€</t>
  </si>
  <si>
    <t>📌 MODE D'EMPLOI</t>
  </si>
  <si>
    <t>1. Les cellules JAUNES (ventes) sont modifiables</t>
  </si>
  <si>
    <t>2. La TRÉSORERIE CUMULÉE doit rester ≥ 0€</t>
  </si>
  <si>
    <t>3. Remboursement emprunt : 9 mois en 2026, 12 mois/an 2027-2029</t>
  </si>
  <si>
    <t>⚠️ Ce scénario est le STRICT MINIMUM pour survivre !</t>
  </si>
  <si>
    <t>✓ Seuil : 187 ailes/an</t>
  </si>
  <si>
    <t>CA vente HT</t>
  </si>
  <si>
    <t xml:space="preserve">💰 RÉSULTATS PRÉVISIONNELS - SCÉNARIO RÉALISTE </t>
  </si>
  <si>
    <t>Flux annuel</t>
  </si>
  <si>
    <t>avant 1000 ailes/ans</t>
  </si>
  <si>
    <t>apres 1000 ailes/ans</t>
  </si>
  <si>
    <t>bénéfice net</t>
  </si>
  <si>
    <t>résultat net</t>
  </si>
  <si>
    <t>Jim Nougarolles</t>
  </si>
  <si>
    <t>Yann Freund</t>
  </si>
  <si>
    <t>Manu Lalie</t>
  </si>
  <si>
    <t>Marge Brute</t>
  </si>
  <si>
    <t>✓ Marge brute ~45%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</si>
</sst>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164" formatCode="#,##0&quot; €&quot;"/>
    <numFmt numFmtId="165" formatCode="_-* #,##0&quot; €&quot;_-;\-* #,##0&quot; €&quot;_-;_-* \-??&quot; €&quot;_-;_-@_-"/>
    <numFmt numFmtId="166" formatCode="0.0%"/>
    <numFmt numFmtId="167" formatCode="#,##0.00&quot; €&quot;"/>
    <numFmt numFmtId="168" formatCode="\+#,##0&quot; €&quot;;\-#,##0&quot; €&quot;"/>
    <numFmt numFmtId="169" formatCode="\+0;\-0;0"/>
    <numFmt numFmtId="170" formatCode="\+#,##0&quot; €&quot;;\-#,##0&quot; €&quot;;0&quot; €&quot;"/>
    <numFmt numFmtId="171" formatCode="_-* #,##0\ &quot;€&quot;_-;\-* #,##0\ &quot;€&quot;_-;_-* &quot;-&quot;??\ &quot;€&quot;_-;_-@_-"/>
    <numFmt numFmtId="172" formatCode="0.0"/>
    <numFmt numFmtId="173" formatCode="0&quot; ailes&quot;"/>
    <numFmt numFmtId="174" formatCode="0&quot; ailes/an&quot;"/>
  </numFmts>
  <fonts count="67" x14ac:knownFonts="1">
    <font>
      <sz val="11"/>
      <color theme="1"/>
      <name val="Calibri"/>
      <family val="2"/>
      <charset val="1"/>
    </font>
    <font>
      <sz val="10"/>
      <name val="Arial"/>
    </font>
    <font>
      <b/>
      <sz val="28"/>
      <color rgb="FF2C3E50"/>
      <name val="Cambria"/>
      <charset val="1"/>
    </font>
    <font>
      <i/>
      <sz val="14"/>
      <color rgb="FF7F8C8D"/>
      <name val="Cambria"/>
      <charset val="1"/>
    </font>
    <font>
      <b/>
      <sz val="14"/>
      <color rgb="FFFFFFFF"/>
      <name val="Cambria"/>
      <charset val="1"/>
    </font>
    <font>
      <b/>
      <sz val="12"/>
      <color rgb="FFFFFFFF"/>
      <name val="Cambria"/>
      <charset val="1"/>
    </font>
    <font>
      <sz val="10"/>
      <name val="Cambria"/>
      <charset val="1"/>
    </font>
    <font>
      <sz val="10"/>
      <color rgb="FF1ABC9C"/>
      <name val="Cambria"/>
      <charset val="1"/>
    </font>
    <font>
      <sz val="9"/>
      <color rgb="FF7F8C8D"/>
      <name val="Cambria"/>
      <charset val="1"/>
    </font>
    <font>
      <b/>
      <sz val="12"/>
      <name val="Calibri"/>
      <charset val="1"/>
    </font>
    <font>
      <b/>
      <sz val="20"/>
      <color rgb="FF1ABC9C"/>
      <name val="Cambria"/>
      <charset val="1"/>
    </font>
    <font>
      <b/>
      <sz val="20"/>
      <color rgb="FFF39C12"/>
      <name val="Cambria"/>
      <charset val="1"/>
    </font>
    <font>
      <b/>
      <sz val="20"/>
      <color rgb="FF9B59B6"/>
      <name val="Cambria"/>
      <charset val="1"/>
    </font>
    <font>
      <b/>
      <sz val="11"/>
      <name val="Cambria"/>
      <charset val="1"/>
    </font>
    <font>
      <b/>
      <sz val="10"/>
      <name val="Cambria"/>
      <charset val="1"/>
    </font>
    <font>
      <b/>
      <sz val="10"/>
      <color rgb="FFF39C12"/>
      <name val="Cambria"/>
      <charset val="1"/>
    </font>
    <font>
      <b/>
      <sz val="10"/>
      <color rgb="FFE74C3C"/>
      <name val="Cambria"/>
      <charset val="1"/>
    </font>
    <font>
      <b/>
      <sz val="11"/>
      <name val="Calibri"/>
      <charset val="1"/>
    </font>
    <font>
      <sz val="10"/>
      <color rgb="FF27AE60"/>
      <name val="Cambria"/>
      <charset val="1"/>
    </font>
    <font>
      <sz val="11"/>
      <color rgb="FFFF0000"/>
      <name val="Calibri"/>
      <charset val="1"/>
    </font>
    <font>
      <b/>
      <sz val="11"/>
      <color rgb="FF2980B9"/>
      <name val="Cambria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2"/>
      <name val="Cambria"/>
      <charset val="1"/>
    </font>
    <font>
      <b/>
      <sz val="10"/>
      <color rgb="FFFFFFFF"/>
      <name val="Cambria"/>
      <charset val="1"/>
    </font>
    <font>
      <sz val="11"/>
      <name val="Cambria"/>
      <charset val="1"/>
    </font>
    <font>
      <b/>
      <sz val="11"/>
      <color rgb="FF1F4E79"/>
      <name val="Cambria"/>
      <charset val="1"/>
    </font>
    <font>
      <b/>
      <sz val="16"/>
      <color rgb="FF2C3E50"/>
      <name val="Cambria"/>
      <charset val="1"/>
    </font>
    <font>
      <i/>
      <sz val="11"/>
      <color rgb="FF7F8C8D"/>
      <name val="Cambria"/>
      <charset val="1"/>
    </font>
    <font>
      <b/>
      <sz val="12"/>
      <color rgb="FF2C3E50"/>
      <name val="Cambria"/>
      <charset val="1"/>
    </font>
    <font>
      <i/>
      <sz val="10"/>
      <color rgb="FF27AE60"/>
      <name val="Cambria"/>
      <charset val="1"/>
    </font>
    <font>
      <b/>
      <sz val="11"/>
      <color rgb="FF2C3E50"/>
      <name val="Cambria"/>
      <charset val="1"/>
    </font>
    <font>
      <b/>
      <sz val="11"/>
      <color rgb="FF27AE60"/>
      <name val="Cambria"/>
      <charset val="1"/>
    </font>
    <font>
      <b/>
      <sz val="14"/>
      <color rgb="FFE74C3C"/>
      <name val="Cambria"/>
      <charset val="1"/>
    </font>
    <font>
      <i/>
      <sz val="10"/>
      <color rgb="FF7F8C8D"/>
      <name val="Cambria"/>
      <charset val="1"/>
    </font>
    <font>
      <b/>
      <sz val="11"/>
      <color rgb="FFFFFFFF"/>
      <name val="Cambria"/>
      <charset val="1"/>
    </font>
    <font>
      <b/>
      <sz val="11"/>
      <color rgb="FFF39C12"/>
      <name val="Cambria"/>
      <charset val="1"/>
    </font>
    <font>
      <b/>
      <sz val="11"/>
      <color rgb="FFE74C3C"/>
      <name val="Cambria"/>
      <charset val="1"/>
    </font>
    <font>
      <b/>
      <sz val="14"/>
      <color rgb="FF2980B9"/>
      <name val="Cambria"/>
      <charset val="1"/>
    </font>
    <font>
      <b/>
      <u/>
      <sz val="11"/>
      <name val="Cambria"/>
      <charset val="1"/>
    </font>
    <font>
      <i/>
      <sz val="10"/>
      <name val="Cambria"/>
      <charset val="1"/>
    </font>
    <font>
      <b/>
      <sz val="14"/>
      <color rgb="FF3498DB"/>
      <name val="Cambria"/>
      <charset val="1"/>
    </font>
    <font>
      <b/>
      <sz val="11"/>
      <color rgb="FF3498DB"/>
      <name val="Cambria"/>
      <charset val="1"/>
    </font>
    <font>
      <b/>
      <sz val="11"/>
      <color rgb="FF9B59B6"/>
      <name val="Cambria"/>
      <charset val="1"/>
    </font>
    <font>
      <i/>
      <sz val="10"/>
      <color rgb="FFE74C3C"/>
      <name val="Cambria"/>
      <charset val="1"/>
    </font>
    <font>
      <b/>
      <sz val="16"/>
      <color rgb="FFE74C3C"/>
      <name val="Cambria"/>
      <charset val="1"/>
    </font>
    <font>
      <b/>
      <sz val="14"/>
      <name val="Calibri"/>
      <charset val="1"/>
    </font>
    <font>
      <b/>
      <sz val="11"/>
      <color rgb="FFFFFFFF"/>
      <name val="Calibri"/>
      <charset val="1"/>
    </font>
    <font>
      <b/>
      <sz val="11"/>
      <color theme="1"/>
      <name val="Calibri"/>
      <family val="2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sz val="12"/>
      <color rgb="FF00B05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2"/>
      <color rgb="FF00B050"/>
      <name val="Arial"/>
      <family val="2"/>
    </font>
    <font>
      <sz val="11"/>
      <color theme="0"/>
      <name val="Calibri"/>
      <family val="2"/>
      <charset val="1"/>
    </font>
    <font>
      <b/>
      <sz val="12"/>
      <color rgb="FF2C3E50"/>
      <name val="Cambria"/>
      <family val="1"/>
    </font>
    <font>
      <sz val="11"/>
      <name val="Cambria"/>
      <family val="1"/>
    </font>
    <font>
      <b/>
      <sz val="11"/>
      <color rgb="FF008000"/>
      <name val="Cambria"/>
      <family val="1"/>
    </font>
    <font>
      <i/>
      <sz val="11"/>
      <color rgb="FF7F8C8D"/>
      <name val="Cambria"/>
      <family val="1"/>
    </font>
    <font>
      <sz val="10"/>
      <color theme="1"/>
      <name val="Arial"/>
      <family val="2"/>
    </font>
    <font>
      <sz val="8"/>
      <name val="Calibri"/>
      <family val="2"/>
      <charset val="1"/>
    </font>
    <font>
      <i/>
      <sz val="11"/>
      <color rgb="FF666666"/>
      <name val="Cambria"/>
      <family val="1"/>
    </font>
    <font>
      <sz val="11"/>
      <color rgb="FF0000FF"/>
      <name val="Cambria"/>
      <family val="1"/>
    </font>
    <font>
      <sz val="10"/>
      <color rgb="FF27AE60"/>
      <name val="Cambria"/>
      <family val="1"/>
    </font>
    <font>
      <b/>
      <sz val="12"/>
      <color rgb="FFFFFFFF"/>
      <name val="Cambria"/>
      <family val="1"/>
    </font>
    <font>
      <b/>
      <sz val="8"/>
      <color rgb="FFFFFFFF"/>
      <name val="Cambria"/>
      <family val="1"/>
    </font>
    <font>
      <b/>
      <sz val="10"/>
      <name val="Cambria"/>
      <family val="1"/>
    </font>
  </fonts>
  <fills count="29">
    <fill>
      <patternFill patternType="none"/>
    </fill>
    <fill>
      <patternFill patternType="gray125"/>
    </fill>
    <fill>
      <patternFill patternType="solid">
        <fgColor rgb="FF1ABC9C"/>
        <bgColor rgb="FF27AE60"/>
      </patternFill>
    </fill>
    <fill>
      <patternFill patternType="solid">
        <fgColor rgb="FF2C3E50"/>
        <bgColor rgb="FF1F4E79"/>
      </patternFill>
    </fill>
    <fill>
      <patternFill patternType="solid">
        <fgColor rgb="FFECF0F1"/>
        <bgColor rgb="FFD9E2F3"/>
      </patternFill>
    </fill>
    <fill>
      <patternFill patternType="solid">
        <fgColor rgb="FFFFEB9C"/>
        <bgColor rgb="FFECF0F1"/>
      </patternFill>
    </fill>
    <fill>
      <patternFill patternType="solid">
        <fgColor rgb="FFFFC7CE"/>
        <bgColor rgb="FFD5DBDB"/>
      </patternFill>
    </fill>
    <fill>
      <patternFill patternType="solid">
        <fgColor rgb="FF27AE60"/>
        <bgColor rgb="FF1ABC9C"/>
      </patternFill>
    </fill>
    <fill>
      <patternFill patternType="solid">
        <fgColor rgb="FF1F4E79"/>
        <bgColor rgb="FF2C3E50"/>
      </patternFill>
    </fill>
    <fill>
      <patternFill patternType="solid">
        <fgColor rgb="FFD6DCE4"/>
        <bgColor rgb="FFD5DBDB"/>
      </patternFill>
    </fill>
    <fill>
      <patternFill patternType="solid">
        <fgColor rgb="FFD5DBDB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39C12"/>
        <bgColor rgb="FFFFC000"/>
      </patternFill>
    </fill>
    <fill>
      <patternFill patternType="solid">
        <fgColor rgb="FF3498DB"/>
        <bgColor rgb="FF2980B9"/>
      </patternFill>
    </fill>
    <fill>
      <patternFill patternType="solid">
        <fgColor rgb="FF9B59B6"/>
        <bgColor rgb="FF8E44AD"/>
      </patternFill>
    </fill>
    <fill>
      <patternFill patternType="solid">
        <fgColor rgb="FFE74C3C"/>
        <bgColor rgb="FFFF8080"/>
      </patternFill>
    </fill>
    <fill>
      <patternFill patternType="solid">
        <fgColor rgb="FF8E44AD"/>
        <bgColor rgb="FF9B59B6"/>
      </patternFill>
    </fill>
    <fill>
      <patternFill patternType="solid">
        <fgColor rgb="FF4472C4"/>
        <bgColor rgb="FF2980B9"/>
      </patternFill>
    </fill>
    <fill>
      <patternFill patternType="solid">
        <fgColor rgb="FFD9E2F3"/>
        <bgColor rgb="FFD6DCE4"/>
      </patternFill>
    </fill>
    <fill>
      <patternFill patternType="solid">
        <fgColor rgb="FFFFC000"/>
        <bgColor rgb="FFF39C12"/>
      </patternFill>
    </fill>
    <fill>
      <patternFill patternType="solid">
        <fgColor rgb="FF92D050"/>
        <bgColor rgb="FFBDC3C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  <fill>
      <patternFill patternType="solid">
        <fgColor rgb="FFDBEEF3"/>
        <bgColor rgb="FFD9EAD3"/>
      </patternFill>
    </fill>
    <fill>
      <patternFill patternType="solid">
        <fgColor rgb="FFD9EAD3"/>
        <bgColor rgb="FFDBEEF3"/>
      </patternFill>
    </fill>
  </fills>
  <borders count="18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30">
    <xf numFmtId="0" fontId="0" fillId="0" borderId="0" xfId="0"/>
    <xf numFmtId="0" fontId="5" fillId="2" borderId="1" xfId="0" applyFont="1" applyFill="1" applyBorder="1"/>
    <xf numFmtId="0" fontId="30" fillId="0" borderId="1" xfId="0" applyFont="1" applyBorder="1"/>
    <xf numFmtId="0" fontId="18" fillId="0" borderId="0" xfId="0" applyFont="1"/>
    <xf numFmtId="0" fontId="5" fillId="7" borderId="0" xfId="0" applyFont="1" applyFill="1"/>
    <xf numFmtId="0" fontId="5" fillId="3" borderId="0" xfId="0" applyFont="1" applyFill="1"/>
    <xf numFmtId="0" fontId="0" fillId="2" borderId="0" xfId="0" applyFill="1"/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164" fontId="9" fillId="0" borderId="0" xfId="0" applyNumberFormat="1" applyFont="1"/>
    <xf numFmtId="0" fontId="9" fillId="0" borderId="0" xfId="0" applyFont="1"/>
    <xf numFmtId="164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4" borderId="0" xfId="0" applyFont="1" applyFill="1"/>
    <xf numFmtId="164" fontId="13" fillId="4" borderId="0" xfId="0" applyNumberFormat="1" applyFont="1" applyFill="1" applyAlignment="1">
      <alignment horizontal="right"/>
    </xf>
    <xf numFmtId="0" fontId="0" fillId="4" borderId="0" xfId="0" applyFill="1"/>
    <xf numFmtId="0" fontId="14" fillId="4" borderId="0" xfId="0" applyFont="1" applyFill="1" applyAlignment="1">
      <alignment horizontal="center"/>
    </xf>
    <xf numFmtId="0" fontId="15" fillId="0" borderId="0" xfId="0" applyFont="1"/>
    <xf numFmtId="0" fontId="0" fillId="5" borderId="0" xfId="0" applyFill="1" applyAlignment="1">
      <alignment horizontal="center"/>
    </xf>
    <xf numFmtId="0" fontId="16" fillId="0" borderId="0" xfId="0" applyFont="1"/>
    <xf numFmtId="0" fontId="0" fillId="6" borderId="0" xfId="0" applyFill="1" applyAlignment="1">
      <alignment horizontal="center"/>
    </xf>
    <xf numFmtId="164" fontId="17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/>
    <xf numFmtId="0" fontId="19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8" borderId="0" xfId="0" applyFont="1" applyFill="1" applyAlignment="1">
      <alignment horizontal="center"/>
    </xf>
    <xf numFmtId="0" fontId="14" fillId="9" borderId="0" xfId="0" applyFont="1" applyFill="1"/>
    <xf numFmtId="3" fontId="0" fillId="0" borderId="0" xfId="0" applyNumberFormat="1"/>
    <xf numFmtId="0" fontId="26" fillId="0" borderId="0" xfId="0" applyFont="1"/>
    <xf numFmtId="3" fontId="26" fillId="0" borderId="0" xfId="0" applyNumberFormat="1" applyFont="1"/>
    <xf numFmtId="0" fontId="0" fillId="9" borderId="0" xfId="0" applyFill="1"/>
    <xf numFmtId="0" fontId="13" fillId="9" borderId="0" xfId="0" applyFont="1" applyFill="1"/>
    <xf numFmtId="164" fontId="0" fillId="0" borderId="0" xfId="0" applyNumberFormat="1"/>
    <xf numFmtId="0" fontId="28" fillId="0" borderId="0" xfId="0" applyFont="1"/>
    <xf numFmtId="0" fontId="13" fillId="10" borderId="1" xfId="0" applyFont="1" applyFill="1" applyBorder="1"/>
    <xf numFmtId="0" fontId="13" fillId="1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13" fillId="10" borderId="1" xfId="0" applyNumberFormat="1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25" fillId="0" borderId="1" xfId="0" applyFont="1" applyBorder="1"/>
    <xf numFmtId="164" fontId="31" fillId="0" borderId="1" xfId="0" applyNumberFormat="1" applyFont="1" applyBorder="1" applyAlignment="1">
      <alignment horizontal="right"/>
    </xf>
    <xf numFmtId="0" fontId="31" fillId="0" borderId="1" xfId="0" applyFont="1" applyBorder="1" applyAlignment="1">
      <alignment horizontal="right"/>
    </xf>
    <xf numFmtId="10" fontId="31" fillId="0" borderId="1" xfId="0" applyNumberFormat="1" applyFont="1" applyBorder="1" applyAlignment="1">
      <alignment horizontal="right"/>
    </xf>
    <xf numFmtId="0" fontId="13" fillId="10" borderId="1" xfId="0" applyFont="1" applyFill="1" applyBorder="1" applyAlignment="1">
      <alignment horizontal="center"/>
    </xf>
    <xf numFmtId="164" fontId="0" fillId="0" borderId="1" xfId="0" applyNumberFormat="1" applyBorder="1"/>
    <xf numFmtId="164" fontId="32" fillId="0" borderId="1" xfId="0" applyNumberFormat="1" applyFont="1" applyBorder="1"/>
    <xf numFmtId="0" fontId="13" fillId="0" borderId="1" xfId="0" applyFont="1" applyBorder="1"/>
    <xf numFmtId="164" fontId="33" fillId="0" borderId="1" xfId="0" applyNumberFormat="1" applyFont="1" applyBorder="1"/>
    <xf numFmtId="165" fontId="0" fillId="0" borderId="0" xfId="0" applyNumberFormat="1"/>
    <xf numFmtId="0" fontId="0" fillId="0" borderId="1" xfId="0" applyBorder="1" applyAlignment="1">
      <alignment horizontal="center"/>
    </xf>
    <xf numFmtId="166" fontId="31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13" fillId="0" borderId="1" xfId="0" applyNumberFormat="1" applyFont="1" applyBorder="1" applyAlignment="1">
      <alignment horizontal="right"/>
    </xf>
    <xf numFmtId="167" fontId="32" fillId="0" borderId="1" xfId="0" applyNumberFormat="1" applyFont="1" applyBorder="1" applyAlignment="1">
      <alignment horizontal="right"/>
    </xf>
    <xf numFmtId="166" fontId="32" fillId="0" borderId="1" xfId="0" applyNumberFormat="1" applyFont="1" applyBorder="1" applyAlignment="1">
      <alignment horizontal="right"/>
    </xf>
    <xf numFmtId="0" fontId="0" fillId="11" borderId="1" xfId="0" applyFill="1" applyBorder="1"/>
    <xf numFmtId="167" fontId="0" fillId="11" borderId="1" xfId="0" applyNumberFormat="1" applyFill="1" applyBorder="1" applyAlignment="1">
      <alignment horizontal="right"/>
    </xf>
    <xf numFmtId="167" fontId="32" fillId="0" borderId="1" xfId="0" applyNumberFormat="1" applyFont="1" applyBorder="1"/>
    <xf numFmtId="9" fontId="20" fillId="0" borderId="1" xfId="0" applyNumberFormat="1" applyFont="1" applyBorder="1"/>
    <xf numFmtId="0" fontId="0" fillId="10" borderId="1" xfId="0" applyFill="1" applyBorder="1"/>
    <xf numFmtId="0" fontId="32" fillId="0" borderId="1" xfId="0" applyFont="1" applyBorder="1"/>
    <xf numFmtId="0" fontId="32" fillId="0" borderId="1" xfId="0" applyFont="1" applyBorder="1" applyAlignment="1">
      <alignment horizontal="center"/>
    </xf>
    <xf numFmtId="0" fontId="36" fillId="0" borderId="1" xfId="0" applyFont="1" applyBorder="1"/>
    <xf numFmtId="0" fontId="36" fillId="0" borderId="1" xfId="0" applyFont="1" applyBorder="1" applyAlignment="1">
      <alignment horizontal="center"/>
    </xf>
    <xf numFmtId="0" fontId="37" fillId="0" borderId="1" xfId="0" applyFont="1" applyBorder="1"/>
    <xf numFmtId="0" fontId="1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3" fillId="4" borderId="1" xfId="0" applyFont="1" applyFill="1" applyBorder="1"/>
    <xf numFmtId="164" fontId="13" fillId="4" borderId="1" xfId="0" applyNumberFormat="1" applyFont="1" applyFill="1" applyBorder="1"/>
    <xf numFmtId="9" fontId="13" fillId="4" borderId="1" xfId="0" applyNumberFormat="1" applyFont="1" applyFill="1" applyBorder="1"/>
    <xf numFmtId="0" fontId="0" fillId="4" borderId="1" xfId="0" applyFill="1" applyBorder="1"/>
    <xf numFmtId="0" fontId="23" fillId="2" borderId="1" xfId="0" applyFont="1" applyFill="1" applyBorder="1"/>
    <xf numFmtId="164" fontId="4" fillId="2" borderId="1" xfId="0" applyNumberFormat="1" applyFont="1" applyFill="1" applyBorder="1"/>
    <xf numFmtId="164" fontId="25" fillId="0" borderId="1" xfId="0" applyNumberFormat="1" applyFont="1" applyBorder="1"/>
    <xf numFmtId="164" fontId="38" fillId="0" borderId="1" xfId="0" applyNumberFormat="1" applyFont="1" applyBorder="1"/>
    <xf numFmtId="0" fontId="39" fillId="0" borderId="0" xfId="0" applyFont="1"/>
    <xf numFmtId="167" fontId="0" fillId="0" borderId="1" xfId="0" applyNumberFormat="1" applyBorder="1"/>
    <xf numFmtId="9" fontId="0" fillId="0" borderId="1" xfId="0" applyNumberFormat="1" applyBorder="1"/>
    <xf numFmtId="164" fontId="0" fillId="0" borderId="0" xfId="0" applyNumberFormat="1" applyAlignment="1">
      <alignment horizontal="center"/>
    </xf>
    <xf numFmtId="164" fontId="37" fillId="0" borderId="1" xfId="0" applyNumberFormat="1" applyFont="1" applyBorder="1" applyAlignment="1">
      <alignment horizontal="center"/>
    </xf>
    <xf numFmtId="0" fontId="40" fillId="0" borderId="1" xfId="0" applyFont="1" applyBorder="1"/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43" fillId="0" borderId="1" xfId="0" applyNumberFormat="1" applyFont="1" applyBorder="1" applyAlignment="1">
      <alignment horizontal="center"/>
    </xf>
    <xf numFmtId="0" fontId="44" fillId="0" borderId="1" xfId="0" applyFont="1" applyBorder="1"/>
    <xf numFmtId="167" fontId="43" fillId="0" borderId="1" xfId="0" applyNumberFormat="1" applyFont="1" applyBorder="1"/>
    <xf numFmtId="164" fontId="25" fillId="0" borderId="0" xfId="0" applyNumberFormat="1" applyFont="1" applyAlignment="1">
      <alignment horizontal="center"/>
    </xf>
    <xf numFmtId="170" fontId="13" fillId="0" borderId="1" xfId="0" applyNumberFormat="1" applyFont="1" applyBorder="1" applyAlignment="1">
      <alignment horizontal="center"/>
    </xf>
    <xf numFmtId="0" fontId="23" fillId="0" borderId="1" xfId="0" applyFont="1" applyBorder="1"/>
    <xf numFmtId="164" fontId="38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0" fontId="0" fillId="17" borderId="0" xfId="0" applyFill="1"/>
    <xf numFmtId="0" fontId="47" fillId="17" borderId="0" xfId="0" applyFont="1" applyFill="1" applyAlignment="1">
      <alignment horizontal="center"/>
    </xf>
    <xf numFmtId="0" fontId="17" fillId="18" borderId="0" xfId="0" applyFont="1" applyFill="1"/>
    <xf numFmtId="0" fontId="0" fillId="18" borderId="0" xfId="0" applyFill="1"/>
    <xf numFmtId="3" fontId="0" fillId="0" borderId="0" xfId="0" applyNumberFormat="1" applyAlignment="1">
      <alignment horizontal="right"/>
    </xf>
    <xf numFmtId="0" fontId="17" fillId="0" borderId="0" xfId="0" applyFont="1"/>
    <xf numFmtId="3" fontId="17" fillId="0" borderId="0" xfId="0" applyNumberFormat="1" applyFont="1" applyAlignment="1">
      <alignment horizontal="right"/>
    </xf>
    <xf numFmtId="0" fontId="9" fillId="19" borderId="0" xfId="0" applyFont="1" applyFill="1"/>
    <xf numFmtId="3" fontId="9" fillId="19" borderId="0" xfId="0" applyNumberFormat="1" applyFont="1" applyFill="1" applyAlignment="1">
      <alignment horizontal="right"/>
    </xf>
    <xf numFmtId="3" fontId="0" fillId="20" borderId="0" xfId="0" applyNumberFormat="1" applyFill="1" applyAlignment="1">
      <alignment horizontal="right"/>
    </xf>
    <xf numFmtId="0" fontId="13" fillId="17" borderId="0" xfId="0" applyFont="1" applyFill="1"/>
    <xf numFmtId="3" fontId="13" fillId="0" borderId="0" xfId="0" applyNumberFormat="1" applyFont="1" applyAlignment="1">
      <alignment horizontal="right"/>
    </xf>
    <xf numFmtId="0" fontId="0" fillId="21" borderId="1" xfId="0" applyFill="1" applyBorder="1"/>
    <xf numFmtId="0" fontId="0" fillId="21" borderId="1" xfId="0" applyFill="1" applyBorder="1" applyAlignment="1">
      <alignment horizontal="right"/>
    </xf>
    <xf numFmtId="164" fontId="0" fillId="21" borderId="1" xfId="0" applyNumberFormat="1" applyFill="1" applyBorder="1" applyAlignment="1">
      <alignment horizontal="right"/>
    </xf>
    <xf numFmtId="0" fontId="49" fillId="10" borderId="3" xfId="0" applyFont="1" applyFill="1" applyBorder="1"/>
    <xf numFmtId="9" fontId="1" fillId="0" borderId="0" xfId="2"/>
    <xf numFmtId="44" fontId="1" fillId="0" borderId="0" xfId="1"/>
    <xf numFmtId="0" fontId="51" fillId="22" borderId="4" xfId="0" applyFont="1" applyFill="1" applyBorder="1"/>
    <xf numFmtId="0" fontId="52" fillId="22" borderId="5" xfId="0" applyFont="1" applyFill="1" applyBorder="1"/>
    <xf numFmtId="44" fontId="53" fillId="22" borderId="5" xfId="1" applyFont="1" applyFill="1" applyBorder="1"/>
    <xf numFmtId="0" fontId="54" fillId="0" borderId="0" xfId="0" applyFont="1"/>
    <xf numFmtId="44" fontId="1" fillId="0" borderId="5" xfId="1" applyBorder="1"/>
    <xf numFmtId="0" fontId="49" fillId="0" borderId="1" xfId="0" applyFont="1" applyBorder="1"/>
    <xf numFmtId="0" fontId="49" fillId="10" borderId="1" xfId="0" applyFont="1" applyFill="1" applyBorder="1"/>
    <xf numFmtId="171" fontId="0" fillId="0" borderId="1" xfId="0" applyNumberFormat="1" applyBorder="1"/>
    <xf numFmtId="167" fontId="0" fillId="0" borderId="0" xfId="0" applyNumberFormat="1"/>
    <xf numFmtId="171" fontId="1" fillId="0" borderId="0" xfId="1" applyNumberFormat="1" applyBorder="1"/>
    <xf numFmtId="44" fontId="0" fillId="0" borderId="0" xfId="0" applyNumberFormat="1"/>
    <xf numFmtId="0" fontId="35" fillId="3" borderId="2" xfId="0" applyFont="1" applyFill="1" applyBorder="1"/>
    <xf numFmtId="3" fontId="56" fillId="0" borderId="0" xfId="0" applyNumberFormat="1" applyFont="1"/>
    <xf numFmtId="172" fontId="0" fillId="0" borderId="0" xfId="0" applyNumberFormat="1"/>
    <xf numFmtId="1" fontId="0" fillId="0" borderId="0" xfId="0" applyNumberFormat="1"/>
    <xf numFmtId="0" fontId="0" fillId="21" borderId="0" xfId="0" applyFill="1"/>
    <xf numFmtId="3" fontId="0" fillId="21" borderId="0" xfId="0" applyNumberFormat="1" applyFill="1"/>
    <xf numFmtId="0" fontId="57" fillId="0" borderId="0" xfId="0" applyFont="1"/>
    <xf numFmtId="171" fontId="1" fillId="0" borderId="0" xfId="1" applyNumberFormat="1"/>
    <xf numFmtId="1" fontId="0" fillId="21" borderId="0" xfId="0" applyNumberFormat="1" applyFill="1"/>
    <xf numFmtId="0" fontId="58" fillId="0" borderId="0" xfId="0" applyFont="1"/>
    <xf numFmtId="0" fontId="59" fillId="0" borderId="6" xfId="0" applyFont="1" applyBorder="1" applyAlignment="1">
      <alignment horizontal="right" wrapText="1"/>
    </xf>
    <xf numFmtId="0" fontId="24" fillId="8" borderId="11" xfId="0" applyFont="1" applyFill="1" applyBorder="1" applyAlignment="1">
      <alignment horizontal="center"/>
    </xf>
    <xf numFmtId="0" fontId="24" fillId="8" borderId="12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3" fontId="0" fillId="0" borderId="12" xfId="0" applyNumberFormat="1" applyBorder="1"/>
    <xf numFmtId="3" fontId="0" fillId="0" borderId="11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3" fontId="26" fillId="0" borderId="11" xfId="0" applyNumberFormat="1" applyFont="1" applyBorder="1"/>
    <xf numFmtId="3" fontId="26" fillId="0" borderId="12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8" fillId="0" borderId="0" xfId="0" applyFont="1"/>
    <xf numFmtId="0" fontId="0" fillId="0" borderId="7" xfId="0" applyBorder="1"/>
    <xf numFmtId="3" fontId="0" fillId="0" borderId="7" xfId="0" applyNumberFormat="1" applyBorder="1"/>
    <xf numFmtId="0" fontId="0" fillId="25" borderId="7" xfId="0" applyFill="1" applyBorder="1"/>
    <xf numFmtId="3" fontId="0" fillId="25" borderId="7" xfId="0" applyNumberFormat="1" applyFill="1" applyBorder="1"/>
    <xf numFmtId="0" fontId="0" fillId="26" borderId="7" xfId="0" applyFill="1" applyBorder="1"/>
    <xf numFmtId="1" fontId="62" fillId="26" borderId="7" xfId="0" applyNumberFormat="1" applyFont="1" applyFill="1" applyBorder="1"/>
    <xf numFmtId="0" fontId="49" fillId="27" borderId="7" xfId="0" applyFont="1" applyFill="1" applyBorder="1"/>
    <xf numFmtId="3" fontId="49" fillId="27" borderId="7" xfId="0" applyNumberFormat="1" applyFont="1" applyFill="1" applyBorder="1"/>
    <xf numFmtId="0" fontId="49" fillId="28" borderId="7" xfId="0" applyFont="1" applyFill="1" applyBorder="1"/>
    <xf numFmtId="3" fontId="49" fillId="28" borderId="7" xfId="0" applyNumberFormat="1" applyFont="1" applyFill="1" applyBorder="1"/>
    <xf numFmtId="1" fontId="0" fillId="0" borderId="7" xfId="0" applyNumberFormat="1" applyBorder="1"/>
    <xf numFmtId="169" fontId="0" fillId="0" borderId="7" xfId="0" applyNumberFormat="1" applyBorder="1"/>
    <xf numFmtId="173" fontId="0" fillId="0" borderId="7" xfId="0" applyNumberFormat="1" applyBorder="1"/>
    <xf numFmtId="174" fontId="0" fillId="0" borderId="7" xfId="0" applyNumberFormat="1" applyBorder="1"/>
    <xf numFmtId="164" fontId="0" fillId="0" borderId="7" xfId="0" applyNumberFormat="1" applyBorder="1"/>
    <xf numFmtId="0" fontId="49" fillId="0" borderId="0" xfId="0" applyFont="1"/>
    <xf numFmtId="0" fontId="61" fillId="0" borderId="0" xfId="0" applyFont="1"/>
    <xf numFmtId="0" fontId="5" fillId="3" borderId="0" xfId="0" applyFont="1" applyFill="1" applyAlignment="1">
      <alignment horizontal="center"/>
    </xf>
    <xf numFmtId="0" fontId="63" fillId="0" borderId="0" xfId="0" applyFont="1"/>
    <xf numFmtId="171" fontId="1" fillId="0" borderId="0" xfId="1" applyNumberFormat="1" applyAlignment="1">
      <alignment horizontal="center"/>
    </xf>
    <xf numFmtId="0" fontId="65" fillId="3" borderId="2" xfId="0" applyFont="1" applyFill="1" applyBorder="1"/>
    <xf numFmtId="1" fontId="37" fillId="0" borderId="1" xfId="0" applyNumberFormat="1" applyFont="1" applyBorder="1" applyAlignment="1">
      <alignment horizontal="center"/>
    </xf>
    <xf numFmtId="0" fontId="66" fillId="0" borderId="0" xfId="0" applyFont="1"/>
    <xf numFmtId="0" fontId="64" fillId="3" borderId="0" xfId="0" applyFont="1" applyFill="1"/>
    <xf numFmtId="0" fontId="5" fillId="3" borderId="0" xfId="0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/>
    <xf numFmtId="0" fontId="29" fillId="4" borderId="1" xfId="0" applyFont="1" applyFill="1" applyBorder="1"/>
    <xf numFmtId="0" fontId="27" fillId="0" borderId="0" xfId="0" applyFont="1"/>
    <xf numFmtId="0" fontId="55" fillId="4" borderId="1" xfId="0" applyFont="1" applyFill="1" applyBorder="1"/>
    <xf numFmtId="0" fontId="4" fillId="3" borderId="1" xfId="0" applyFont="1" applyFill="1" applyBorder="1"/>
    <xf numFmtId="0" fontId="30" fillId="0" borderId="1" xfId="0" applyFont="1" applyBorder="1"/>
    <xf numFmtId="0" fontId="5" fillId="2" borderId="1" xfId="0" applyFont="1" applyFill="1" applyBorder="1"/>
    <xf numFmtId="0" fontId="34" fillId="0" borderId="0" xfId="0" applyFont="1"/>
    <xf numFmtId="0" fontId="34" fillId="0" borderId="1" xfId="0" applyFont="1" applyBorder="1"/>
    <xf numFmtId="0" fontId="50" fillId="2" borderId="17" xfId="0" applyFont="1" applyFill="1" applyBorder="1" applyAlignment="1">
      <alignment horizontal="center"/>
    </xf>
    <xf numFmtId="0" fontId="50" fillId="2" borderId="0" xfId="0" applyFont="1" applyFill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/>
    <xf numFmtId="0" fontId="5" fillId="12" borderId="1" xfId="0" applyFont="1" applyFill="1" applyBorder="1"/>
    <xf numFmtId="0" fontId="35" fillId="12" borderId="1" xfId="0" applyFont="1" applyFill="1" applyBorder="1"/>
    <xf numFmtId="0" fontId="35" fillId="7" borderId="1" xfId="0" applyFont="1" applyFill="1" applyBorder="1"/>
    <xf numFmtId="0" fontId="48" fillId="23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5" fillId="3" borderId="2" xfId="0" applyFont="1" applyFill="1" applyBorder="1"/>
    <xf numFmtId="0" fontId="35" fillId="16" borderId="2" xfId="0" applyFont="1" applyFill="1" applyBorder="1"/>
    <xf numFmtId="0" fontId="50" fillId="12" borderId="2" xfId="0" applyFont="1" applyFill="1" applyBorder="1"/>
    <xf numFmtId="0" fontId="50" fillId="12" borderId="16" xfId="0" applyFont="1" applyFill="1" applyBorder="1"/>
    <xf numFmtId="0" fontId="5" fillId="2" borderId="2" xfId="0" applyFont="1" applyFill="1" applyBorder="1"/>
    <xf numFmtId="0" fontId="35" fillId="14" borderId="2" xfId="0" applyFont="1" applyFill="1" applyBorder="1"/>
    <xf numFmtId="0" fontId="46" fillId="0" borderId="0" xfId="0" applyFont="1"/>
    <xf numFmtId="0" fontId="0" fillId="0" borderId="0" xfId="0"/>
    <xf numFmtId="0" fontId="35" fillId="14" borderId="1" xfId="0" applyFont="1" applyFill="1" applyBorder="1"/>
    <xf numFmtId="0" fontId="35" fillId="3" borderId="1" xfId="0" applyFont="1" applyFill="1" applyBorder="1"/>
    <xf numFmtId="0" fontId="35" fillId="13" borderId="1" xfId="0" applyFont="1" applyFill="1" applyBorder="1"/>
    <xf numFmtId="0" fontId="35" fillId="2" borderId="1" xfId="0" applyFont="1" applyFill="1" applyBorder="1"/>
    <xf numFmtId="0" fontId="45" fillId="0" borderId="0" xfId="0" applyFont="1"/>
    <xf numFmtId="0" fontId="35" fillId="15" borderId="1" xfId="0" applyFont="1" applyFill="1" applyBorder="1"/>
    <xf numFmtId="0" fontId="50" fillId="24" borderId="0" xfId="0" applyFont="1" applyFill="1"/>
    <xf numFmtId="166" fontId="0" fillId="0" borderId="0" xfId="0" applyNumberFormat="1"/>
    <xf numFmtId="9" fontId="1" fillId="0" borderId="5" xfId="2" applyBorder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7F8C8D"/>
      <rgbColor rgb="FF9999FF"/>
      <rgbColor rgb="FF8E44AD"/>
      <rgbColor rgb="FFECF0F1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3498DB"/>
      <rgbColor rgb="FF0000FF"/>
      <rgbColor rgb="FF00CCFF"/>
      <rgbColor rgb="FFD6DCE4"/>
      <rgbColor rgb="FFC6EFCE"/>
      <rgbColor rgb="FFFFEB9C"/>
      <rgbColor rgb="FFD5DBDB"/>
      <rgbColor rgb="FFFF99CC"/>
      <rgbColor rgb="FFCC99FF"/>
      <rgbColor rgb="FFFFC7CE"/>
      <rgbColor rgb="FF4472C4"/>
      <rgbColor rgb="FF1ABC9C"/>
      <rgbColor rgb="FF92D050"/>
      <rgbColor rgb="FFFFC000"/>
      <rgbColor rgb="FFF39C12"/>
      <rgbColor rgb="FFE74C3C"/>
      <rgbColor rgb="FF9B59B6"/>
      <rgbColor rgb="FF969696"/>
      <rgbColor rgb="FF003366"/>
      <rgbColor rgb="FF27AE60"/>
      <rgbColor rgb="FF003300"/>
      <rgbColor rgb="FF333300"/>
      <rgbColor rgb="FF993300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9"/>
  <sheetViews>
    <sheetView tabSelected="1" zoomScaleNormal="100" workbookViewId="0">
      <selection activeCell="O8" sqref="O8"/>
    </sheetView>
  </sheetViews>
  <sheetFormatPr baseColWidth="10" defaultColWidth="8.6328125" defaultRowHeight="14.5" x14ac:dyDescent="0.35"/>
  <cols>
    <col min="1" max="1" width="3" customWidth="1"/>
    <col min="2" max="2" width="18.90625" customWidth="1"/>
    <col min="3" max="3" width="12" customWidth="1"/>
    <col min="4" max="4" width="18.90625" customWidth="1"/>
    <col min="5" max="9" width="12" customWidth="1"/>
    <col min="10" max="10" width="3" customWidth="1"/>
    <col min="11" max="11" width="22" customWidth="1"/>
    <col min="12" max="12" width="14" customWidth="1"/>
    <col min="13" max="13" width="12" customWidth="1"/>
  </cols>
  <sheetData>
    <row r="2" spans="2:13" ht="33.75" customHeight="1" x14ac:dyDescent="0.35">
      <c r="B2" s="190" t="s">
        <v>0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</row>
    <row r="3" spans="2:13" ht="17.25" customHeight="1" x14ac:dyDescent="0.35">
      <c r="B3" s="191" t="s">
        <v>1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</row>
    <row r="4" spans="2:13" ht="6" customHeight="1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2:13" ht="17.25" customHeight="1" x14ac:dyDescent="0.35">
      <c r="B6" s="192" t="s">
        <v>2</v>
      </c>
      <c r="C6" s="192"/>
      <c r="D6" s="192"/>
      <c r="E6" s="192"/>
      <c r="F6" s="192"/>
      <c r="G6" s="192"/>
      <c r="H6" s="192"/>
      <c r="I6" s="192"/>
      <c r="K6" s="189" t="s">
        <v>3</v>
      </c>
      <c r="L6" s="189"/>
      <c r="M6" s="189"/>
    </row>
    <row r="7" spans="2:13" ht="15" customHeight="1" x14ac:dyDescent="0.35">
      <c r="B7" t="s">
        <v>34</v>
      </c>
      <c r="C7" t="s">
        <v>35</v>
      </c>
      <c r="K7" s="7" t="s">
        <v>4</v>
      </c>
      <c r="L7" s="8">
        <v>104000</v>
      </c>
      <c r="M7" s="9" t="s">
        <v>5</v>
      </c>
    </row>
    <row r="8" spans="2:13" ht="15" customHeight="1" x14ac:dyDescent="0.35">
      <c r="B8" s="10" t="s">
        <v>6</v>
      </c>
      <c r="C8" s="11"/>
      <c r="D8" s="10" t="s">
        <v>7</v>
      </c>
      <c r="F8" s="10" t="s">
        <v>8</v>
      </c>
      <c r="G8" s="12"/>
      <c r="H8" s="10" t="s">
        <v>9</v>
      </c>
      <c r="I8" s="11"/>
      <c r="K8" s="7" t="s">
        <v>10</v>
      </c>
      <c r="L8" s="8">
        <v>85000</v>
      </c>
      <c r="M8" s="9" t="s">
        <v>11</v>
      </c>
    </row>
    <row r="9" spans="2:13" ht="24" customHeight="1" x14ac:dyDescent="0.5">
      <c r="B9" s="13">
        <f>Financement!C7</f>
        <v>100000</v>
      </c>
      <c r="D9" s="11">
        <f>L12</f>
        <v>428000</v>
      </c>
      <c r="F9" s="14">
        <f>'Seuil Rentabilité'!C21</f>
        <v>187</v>
      </c>
      <c r="H9" s="15" t="str">
        <f>ROUND('Seuil Rentabilité'!B8,0)&amp;" €"</f>
        <v>1092 €</v>
      </c>
      <c r="K9" s="7" t="s">
        <v>12</v>
      </c>
      <c r="L9" s="8">
        <v>189000</v>
      </c>
      <c r="M9" s="9"/>
    </row>
    <row r="10" spans="2:13" ht="15" customHeight="1" x14ac:dyDescent="0.35">
      <c r="K10" s="7" t="s">
        <v>13</v>
      </c>
      <c r="L10" s="8">
        <v>50000</v>
      </c>
      <c r="M10" s="9"/>
    </row>
    <row r="11" spans="2:13" ht="15" customHeight="1" x14ac:dyDescent="0.35"/>
    <row r="12" spans="2:13" ht="15" customHeight="1" x14ac:dyDescent="0.35">
      <c r="B12" s="189" t="s">
        <v>14</v>
      </c>
      <c r="C12" s="189"/>
      <c r="D12" s="189"/>
      <c r="E12" s="189"/>
      <c r="F12" s="189"/>
      <c r="G12" s="189"/>
      <c r="H12" s="189"/>
      <c r="I12" s="189"/>
      <c r="K12" s="16" t="s">
        <v>15</v>
      </c>
      <c r="L12" s="17">
        <f>SUM(L7:L10)</f>
        <v>428000</v>
      </c>
      <c r="M12" s="18"/>
    </row>
    <row r="13" spans="2:13" ht="15" customHeight="1" x14ac:dyDescent="0.35">
      <c r="C13" s="19">
        <v>2025</v>
      </c>
      <c r="D13" s="19">
        <v>2026</v>
      </c>
      <c r="E13" s="19">
        <v>2027</v>
      </c>
      <c r="F13" s="19">
        <v>2028</v>
      </c>
      <c r="G13" s="19">
        <v>2029</v>
      </c>
      <c r="H13" s="19">
        <v>2030</v>
      </c>
      <c r="I13" s="19">
        <v>2031</v>
      </c>
    </row>
    <row r="14" spans="2:13" ht="15" customHeight="1" x14ac:dyDescent="0.35">
      <c r="B14" s="20" t="s">
        <v>17</v>
      </c>
      <c r="C14" s="21">
        <v>0</v>
      </c>
      <c r="D14" s="21">
        <v>75</v>
      </c>
      <c r="E14" s="21">
        <v>250</v>
      </c>
      <c r="F14" s="21">
        <v>550</v>
      </c>
      <c r="G14" s="21">
        <v>800</v>
      </c>
      <c r="H14" s="21">
        <v>1000</v>
      </c>
      <c r="I14" s="21">
        <v>1000</v>
      </c>
      <c r="K14" s="182" t="s">
        <v>16</v>
      </c>
      <c r="L14" s="182"/>
      <c r="M14" s="182"/>
    </row>
    <row r="15" spans="2:13" ht="15" customHeight="1" x14ac:dyDescent="0.35">
      <c r="B15" s="22" t="s">
        <v>19</v>
      </c>
      <c r="C15" s="23">
        <v>0</v>
      </c>
      <c r="D15" s="23">
        <v>0</v>
      </c>
      <c r="E15" s="23">
        <v>63</v>
      </c>
      <c r="F15" s="23">
        <v>372</v>
      </c>
      <c r="G15" s="23">
        <v>100</v>
      </c>
      <c r="H15" s="23">
        <v>249</v>
      </c>
      <c r="I15" s="23">
        <v>118</v>
      </c>
      <c r="K15" s="7" t="s">
        <v>18</v>
      </c>
      <c r="L15" s="8">
        <f>'Charges Fixes Plume'!D13</f>
        <v>101476</v>
      </c>
    </row>
    <row r="16" spans="2:13" ht="15" customHeight="1" x14ac:dyDescent="0.35">
      <c r="K16" s="7" t="s">
        <v>20</v>
      </c>
      <c r="L16" s="8">
        <f>'Charges Fixes Plume'!D37</f>
        <v>54168.55799999999</v>
      </c>
    </row>
    <row r="17" spans="2:13" ht="15" customHeight="1" x14ac:dyDescent="0.35">
      <c r="K17" s="7" t="s">
        <v>21</v>
      </c>
      <c r="L17" s="8">
        <f>'Charges Fixes Plume'!C28</f>
        <v>40114</v>
      </c>
    </row>
    <row r="18" spans="2:13" ht="15" customHeight="1" x14ac:dyDescent="0.35">
      <c r="K18" s="7"/>
      <c r="L18" s="8"/>
    </row>
    <row r="19" spans="2:13" ht="15" customHeight="1" x14ac:dyDescent="0.35">
      <c r="K19" s="16" t="s">
        <v>15</v>
      </c>
      <c r="L19" s="24">
        <f>'Charges Fixes Plume'!D44</f>
        <v>195758.55799999999</v>
      </c>
      <c r="M19" s="18"/>
    </row>
    <row r="20" spans="2:13" ht="15.5" x14ac:dyDescent="0.35">
      <c r="B20" s="188" t="s">
        <v>453</v>
      </c>
      <c r="C20" s="189"/>
      <c r="D20" s="189"/>
      <c r="E20" s="189"/>
      <c r="F20" s="189"/>
      <c r="G20" s="189"/>
      <c r="H20" s="189"/>
      <c r="I20" s="189"/>
    </row>
    <row r="21" spans="2:13" ht="15" customHeight="1" x14ac:dyDescent="0.35">
      <c r="C21" s="19">
        <v>2025</v>
      </c>
      <c r="D21" s="19">
        <v>2026</v>
      </c>
      <c r="E21" s="19">
        <v>2027</v>
      </c>
      <c r="F21" s="19">
        <v>2028</v>
      </c>
      <c r="G21" s="19">
        <v>2029</v>
      </c>
      <c r="H21" s="19">
        <v>2030</v>
      </c>
      <c r="I21" s="19">
        <v>2031</v>
      </c>
      <c r="K21" s="5" t="s">
        <v>22</v>
      </c>
      <c r="L21" s="5"/>
      <c r="M21" s="5"/>
    </row>
    <row r="22" spans="2:13" ht="15" customHeight="1" x14ac:dyDescent="0.35">
      <c r="B22" s="7" t="s">
        <v>32</v>
      </c>
      <c r="C22" s="27">
        <v>0</v>
      </c>
      <c r="D22" s="184">
        <f>'Plan Trésorerie Mensuel'!O12</f>
        <v>186499.98750000002</v>
      </c>
      <c r="E22" s="184">
        <f>'Plan Trésorerie Mensuel'!M65</f>
        <v>621666.62500000012</v>
      </c>
      <c r="F22" s="184">
        <f>'Plan Trésorerie Mensuel'!Y65</f>
        <v>1367666.5750000004</v>
      </c>
      <c r="G22" s="184">
        <f>'Plan Trésorerie Mensuel'!AK65</f>
        <v>1989333.2000000004</v>
      </c>
      <c r="H22" s="184">
        <f>'Plan Trésorerie Mensuel'!AW65</f>
        <v>2486666.5</v>
      </c>
      <c r="I22" s="184">
        <f>'Plan Trésorerie Mensuel'!BI65</f>
        <v>2610999.8250000007</v>
      </c>
      <c r="K22" s="7" t="s">
        <v>23</v>
      </c>
      <c r="L22" s="8">
        <f>'Emprunt Bancaire'!B4</f>
        <v>189000</v>
      </c>
    </row>
    <row r="23" spans="2:13" ht="15" customHeight="1" x14ac:dyDescent="0.35">
      <c r="B23" s="187" t="s">
        <v>457</v>
      </c>
      <c r="C23" s="29">
        <v>0</v>
      </c>
      <c r="D23" s="184">
        <f>'Compte de Résultat'!C34</f>
        <v>-122170.50539999998</v>
      </c>
      <c r="E23" s="184">
        <f>'Compte de Résultat'!D34</f>
        <v>70886.784</v>
      </c>
      <c r="F23" s="184">
        <f>'Compte de Résultat'!E34</f>
        <v>400488.99440000003</v>
      </c>
      <c r="G23" s="184">
        <f>'Compte de Résultat'!F34</f>
        <v>675607.83640000015</v>
      </c>
      <c r="H23" s="184">
        <f>'Compte de Résultat'!G34</f>
        <v>895848.80999999994</v>
      </c>
      <c r="I23" s="184">
        <f>'Compte de Résultat'!H34</f>
        <v>950429.17840000009</v>
      </c>
      <c r="K23" s="7" t="s">
        <v>24</v>
      </c>
      <c r="L23" s="25" t="s">
        <v>25</v>
      </c>
    </row>
    <row r="24" spans="2:13" ht="15" customHeight="1" x14ac:dyDescent="0.35">
      <c r="B24" s="28" t="s">
        <v>33</v>
      </c>
      <c r="C24" s="184">
        <f>'Compte de Résultat'!B45</f>
        <v>77342.02916666666</v>
      </c>
      <c r="D24" s="184">
        <f>'Compte de Résultat'!C45</f>
        <v>167099.30822333338</v>
      </c>
      <c r="E24" s="184">
        <f>'Compte de Résultat'!D45</f>
        <v>187390.55772333345</v>
      </c>
      <c r="F24" s="184">
        <f>'Compte de Résultat'!E45</f>
        <v>561319.06130833365</v>
      </c>
      <c r="G24" s="184">
        <f>'Compte de Résultat'!F45</f>
        <v>1202832.7600683337</v>
      </c>
      <c r="H24" s="184">
        <f>'Compte de Résultat'!G45</f>
        <v>2205262.637343334</v>
      </c>
      <c r="I24" s="184">
        <f>'Compte de Résultat'!H45</f>
        <v>3436998.427153334</v>
      </c>
      <c r="K24" s="7" t="s">
        <v>26</v>
      </c>
      <c r="L24" s="26">
        <f>'Emprunt Bancaire'!B6</f>
        <v>4.4999999999999998E-2</v>
      </c>
    </row>
    <row r="25" spans="2:13" ht="15" customHeight="1" x14ac:dyDescent="0.35">
      <c r="K25" s="7" t="s">
        <v>27</v>
      </c>
      <c r="L25" s="8">
        <f>'Emprunt Bancaire'!D11</f>
        <v>52400</v>
      </c>
    </row>
    <row r="27" spans="2:13" ht="15" customHeight="1" x14ac:dyDescent="0.35">
      <c r="K27" s="4" t="s">
        <v>28</v>
      </c>
      <c r="L27" s="4"/>
      <c r="M27" s="4"/>
    </row>
    <row r="28" spans="2:13" ht="15" customHeight="1" x14ac:dyDescent="0.35">
      <c r="K28" s="3" t="s">
        <v>29</v>
      </c>
      <c r="L28" s="3"/>
      <c r="M28" s="3"/>
    </row>
    <row r="29" spans="2:13" ht="15" customHeight="1" x14ac:dyDescent="0.35">
      <c r="K29" s="183" t="s">
        <v>451</v>
      </c>
      <c r="L29" s="3"/>
      <c r="M29" s="3"/>
    </row>
    <row r="30" spans="2:13" ht="15" customHeight="1" x14ac:dyDescent="0.35">
      <c r="K30" s="3" t="s">
        <v>463</v>
      </c>
      <c r="L30" s="3"/>
      <c r="M30" s="3"/>
    </row>
    <row r="31" spans="2:13" ht="15" customHeight="1" x14ac:dyDescent="0.35">
      <c r="K31" s="3" t="s">
        <v>30</v>
      </c>
      <c r="L31" s="3"/>
      <c r="M31" s="3"/>
    </row>
    <row r="32" spans="2:13" ht="15" customHeight="1" x14ac:dyDescent="0.35">
      <c r="K32" s="3" t="s">
        <v>31</v>
      </c>
      <c r="L32" s="3"/>
      <c r="M32" s="3"/>
    </row>
    <row r="33" spans="10:10" ht="15" customHeight="1" x14ac:dyDescent="0.35"/>
    <row r="34" spans="10:10" ht="15" customHeight="1" x14ac:dyDescent="0.35"/>
    <row r="35" spans="10:10" ht="15" customHeight="1" x14ac:dyDescent="0.35">
      <c r="J35" s="30"/>
    </row>
    <row r="36" spans="10:10" ht="15" customHeight="1" x14ac:dyDescent="0.35">
      <c r="J36" s="30"/>
    </row>
    <row r="37" spans="10:10" ht="15" customHeight="1" x14ac:dyDescent="0.35"/>
    <row r="38" spans="10:10" ht="15" customHeight="1" x14ac:dyDescent="0.35"/>
    <row r="39" spans="10:10" ht="15" customHeight="1" x14ac:dyDescent="0.35"/>
  </sheetData>
  <mergeCells count="6">
    <mergeCell ref="B20:I20"/>
    <mergeCell ref="B2:M2"/>
    <mergeCell ref="B3:M3"/>
    <mergeCell ref="B6:I6"/>
    <mergeCell ref="K6:M6"/>
    <mergeCell ref="B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689F-0E86-41DF-ADC9-F810D64E1F2E}">
  <dimension ref="A1:D9"/>
  <sheetViews>
    <sheetView workbookViewId="0">
      <selection activeCell="B19" sqref="B19"/>
    </sheetView>
  </sheetViews>
  <sheetFormatPr baseColWidth="10" defaultRowHeight="14.5" x14ac:dyDescent="0.35"/>
  <cols>
    <col min="1" max="1" width="25.54296875" bestFit="1" customWidth="1"/>
    <col min="2" max="2" width="12.1796875" bestFit="1" customWidth="1"/>
  </cols>
  <sheetData>
    <row r="1" spans="1:4" ht="20" x14ac:dyDescent="0.4">
      <c r="A1" s="194" t="s">
        <v>98</v>
      </c>
      <c r="B1" s="194"/>
      <c r="C1" s="194"/>
      <c r="D1" s="194"/>
    </row>
    <row r="2" spans="1:4" x14ac:dyDescent="0.35">
      <c r="A2" s="149" t="s">
        <v>416</v>
      </c>
    </row>
    <row r="5" spans="1:4" ht="15.5" x14ac:dyDescent="0.35">
      <c r="A5" s="193" t="s">
        <v>99</v>
      </c>
      <c r="B5" s="193"/>
      <c r="C5" s="193"/>
      <c r="D5" s="193"/>
    </row>
    <row r="6" spans="1:4" x14ac:dyDescent="0.35">
      <c r="A6" s="43" t="s">
        <v>100</v>
      </c>
      <c r="B6" s="44" t="s">
        <v>101</v>
      </c>
      <c r="C6" s="45"/>
      <c r="D6" s="45"/>
    </row>
    <row r="7" spans="1:4" x14ac:dyDescent="0.35">
      <c r="A7" s="46" t="s">
        <v>102</v>
      </c>
      <c r="B7" s="47">
        <v>500</v>
      </c>
      <c r="C7" s="45"/>
      <c r="D7" s="45"/>
    </row>
    <row r="8" spans="1:4" x14ac:dyDescent="0.35">
      <c r="A8" s="46" t="s">
        <v>103</v>
      </c>
      <c r="B8" s="47">
        <v>3303</v>
      </c>
      <c r="C8" s="45"/>
      <c r="D8" s="45"/>
    </row>
    <row r="9" spans="1:4" x14ac:dyDescent="0.35">
      <c r="A9" s="43" t="s">
        <v>104</v>
      </c>
      <c r="B9" s="48">
        <f>SUM(B7:B8)</f>
        <v>3803</v>
      </c>
      <c r="C9" s="45"/>
      <c r="D9" s="45"/>
    </row>
  </sheetData>
  <mergeCells count="2">
    <mergeCell ref="A5:D5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>
      <selection activeCell="P23" sqref="P23"/>
    </sheetView>
  </sheetViews>
  <sheetFormatPr baseColWidth="10" defaultColWidth="8.6328125" defaultRowHeight="14.5" x14ac:dyDescent="0.35"/>
  <cols>
    <col min="1" max="1" width="45" customWidth="1"/>
    <col min="2" max="2" width="15" customWidth="1"/>
    <col min="3" max="3" width="18" customWidth="1"/>
    <col min="4" max="4" width="20" customWidth="1"/>
  </cols>
  <sheetData>
    <row r="1" spans="1:4" ht="19.5" customHeight="1" x14ac:dyDescent="0.4">
      <c r="A1" s="194" t="s">
        <v>98</v>
      </c>
      <c r="B1" s="194"/>
      <c r="C1" s="194"/>
      <c r="D1" s="194"/>
    </row>
    <row r="2" spans="1:4" ht="15" customHeight="1" x14ac:dyDescent="0.35">
      <c r="A2" s="42"/>
    </row>
    <row r="4" spans="1:4" ht="15" customHeight="1" x14ac:dyDescent="0.35">
      <c r="A4" s="46"/>
      <c r="B4" s="45"/>
      <c r="C4" s="45"/>
      <c r="D4" s="45"/>
    </row>
    <row r="5" spans="1:4" ht="15" customHeight="1" x14ac:dyDescent="0.35">
      <c r="A5" s="195" t="s">
        <v>407</v>
      </c>
      <c r="B5" s="193"/>
      <c r="C5" s="193"/>
      <c r="D5" s="193"/>
    </row>
    <row r="6" spans="1:4" ht="15" customHeight="1" x14ac:dyDescent="0.35">
      <c r="A6" s="197" t="s">
        <v>105</v>
      </c>
      <c r="B6" s="197"/>
      <c r="C6" s="197"/>
      <c r="D6" s="197"/>
    </row>
    <row r="7" spans="1:4" ht="15" customHeight="1" x14ac:dyDescent="0.35">
      <c r="A7" s="43" t="s">
        <v>106</v>
      </c>
      <c r="B7" s="44" t="s">
        <v>107</v>
      </c>
      <c r="C7" s="44" t="s">
        <v>108</v>
      </c>
      <c r="D7" s="44" t="s">
        <v>109</v>
      </c>
    </row>
    <row r="8" spans="1:4" ht="15" customHeight="1" x14ac:dyDescent="0.35">
      <c r="A8" s="46" t="s">
        <v>461</v>
      </c>
      <c r="B8" s="45">
        <v>10</v>
      </c>
      <c r="C8" s="45" t="s">
        <v>110</v>
      </c>
      <c r="D8" s="47">
        <v>10000</v>
      </c>
    </row>
    <row r="9" spans="1:4" ht="15" customHeight="1" x14ac:dyDescent="0.35">
      <c r="A9" s="46" t="s">
        <v>460</v>
      </c>
      <c r="B9" s="45">
        <v>3</v>
      </c>
      <c r="C9" s="45" t="s">
        <v>110</v>
      </c>
      <c r="D9" s="47">
        <v>6000</v>
      </c>
    </row>
    <row r="10" spans="1:4" ht="15" customHeight="1" x14ac:dyDescent="0.35">
      <c r="A10" s="46" t="s">
        <v>248</v>
      </c>
      <c r="B10" s="45">
        <v>12</v>
      </c>
      <c r="C10" s="45" t="s">
        <v>111</v>
      </c>
      <c r="D10" s="47">
        <v>21600</v>
      </c>
    </row>
    <row r="11" spans="1:4" ht="15" customHeight="1" x14ac:dyDescent="0.35">
      <c r="A11" s="46" t="s">
        <v>10</v>
      </c>
      <c r="B11" s="45">
        <v>12</v>
      </c>
      <c r="C11" s="45" t="s">
        <v>111</v>
      </c>
      <c r="D11" s="47">
        <v>36480</v>
      </c>
    </row>
    <row r="12" spans="1:4" ht="15" customHeight="1" x14ac:dyDescent="0.35">
      <c r="A12" s="46" t="s">
        <v>459</v>
      </c>
      <c r="B12" s="45">
        <v>12</v>
      </c>
      <c r="C12" s="45" t="s">
        <v>110</v>
      </c>
      <c r="D12" s="47">
        <v>27396</v>
      </c>
    </row>
    <row r="13" spans="1:4" ht="15" customHeight="1" x14ac:dyDescent="0.35">
      <c r="A13" s="43" t="s">
        <v>112</v>
      </c>
      <c r="B13" s="49"/>
      <c r="C13" s="49"/>
      <c r="D13" s="48">
        <f>SUM(D8:D12)</f>
        <v>101476</v>
      </c>
    </row>
    <row r="14" spans="1:4" ht="15" customHeight="1" x14ac:dyDescent="0.35">
      <c r="A14" s="46"/>
      <c r="B14" s="45"/>
      <c r="C14" s="45"/>
      <c r="D14" s="45"/>
    </row>
    <row r="15" spans="1:4" ht="15" customHeight="1" x14ac:dyDescent="0.35">
      <c r="A15" s="195" t="s">
        <v>408</v>
      </c>
      <c r="B15" s="193"/>
      <c r="C15" s="193"/>
      <c r="D15" s="193"/>
    </row>
    <row r="16" spans="1:4" ht="15" customHeight="1" x14ac:dyDescent="0.35">
      <c r="A16" s="43" t="s">
        <v>100</v>
      </c>
      <c r="B16" s="44" t="s">
        <v>113</v>
      </c>
      <c r="C16" s="44" t="s">
        <v>114</v>
      </c>
      <c r="D16" s="45"/>
    </row>
    <row r="17" spans="1:4" ht="15" customHeight="1" x14ac:dyDescent="0.35">
      <c r="A17" s="46" t="s">
        <v>115</v>
      </c>
      <c r="B17" s="45" t="s">
        <v>116</v>
      </c>
      <c r="C17" s="47">
        <v>50</v>
      </c>
      <c r="D17" s="45"/>
    </row>
    <row r="18" spans="1:4" ht="15" customHeight="1" x14ac:dyDescent="0.35">
      <c r="A18" s="46" t="s">
        <v>117</v>
      </c>
      <c r="B18" s="45" t="s">
        <v>118</v>
      </c>
      <c r="C18" s="47">
        <v>10000</v>
      </c>
      <c r="D18" s="45"/>
    </row>
    <row r="19" spans="1:4" ht="15" customHeight="1" x14ac:dyDescent="0.35">
      <c r="A19" s="46" t="s">
        <v>119</v>
      </c>
      <c r="B19" s="45" t="s">
        <v>120</v>
      </c>
      <c r="C19" s="47">
        <v>900</v>
      </c>
      <c r="D19" s="45"/>
    </row>
    <row r="20" spans="1:4" ht="15" customHeight="1" x14ac:dyDescent="0.35">
      <c r="A20" s="46" t="s">
        <v>121</v>
      </c>
      <c r="B20" s="45" t="s">
        <v>116</v>
      </c>
      <c r="C20" s="47">
        <v>864</v>
      </c>
      <c r="D20" s="45"/>
    </row>
    <row r="21" spans="1:4" ht="15" customHeight="1" x14ac:dyDescent="0.35">
      <c r="A21" s="46" t="s">
        <v>122</v>
      </c>
      <c r="B21" s="45" t="s">
        <v>123</v>
      </c>
      <c r="C21" s="47">
        <v>9600</v>
      </c>
      <c r="D21" s="45"/>
    </row>
    <row r="22" spans="1:4" ht="15" customHeight="1" x14ac:dyDescent="0.35">
      <c r="A22" s="46" t="s">
        <v>124</v>
      </c>
      <c r="B22" s="45" t="s">
        <v>125</v>
      </c>
      <c r="C22" s="47">
        <v>570</v>
      </c>
      <c r="D22" s="45"/>
    </row>
    <row r="23" spans="1:4" ht="15" customHeight="1" x14ac:dyDescent="0.35">
      <c r="A23" s="46" t="s">
        <v>126</v>
      </c>
      <c r="B23" s="45" t="s">
        <v>120</v>
      </c>
      <c r="C23" s="47">
        <v>4000</v>
      </c>
      <c r="D23" s="45"/>
    </row>
    <row r="24" spans="1:4" ht="15" customHeight="1" x14ac:dyDescent="0.35">
      <c r="A24" s="46" t="s">
        <v>127</v>
      </c>
      <c r="B24" s="45" t="s">
        <v>116</v>
      </c>
      <c r="C24" s="47">
        <v>480</v>
      </c>
      <c r="D24" s="45"/>
    </row>
    <row r="25" spans="1:4" ht="15" customHeight="1" x14ac:dyDescent="0.35">
      <c r="A25" s="46" t="s">
        <v>128</v>
      </c>
      <c r="B25" s="45" t="s">
        <v>120</v>
      </c>
      <c r="C25" s="47">
        <v>4650</v>
      </c>
      <c r="D25" s="45"/>
    </row>
    <row r="26" spans="1:4" ht="15" customHeight="1" x14ac:dyDescent="0.35">
      <c r="A26" s="46" t="s">
        <v>129</v>
      </c>
      <c r="B26" s="45" t="s">
        <v>130</v>
      </c>
      <c r="C26" s="47">
        <v>5000</v>
      </c>
      <c r="D26" s="45"/>
    </row>
    <row r="27" spans="1:4" ht="15" customHeight="1" x14ac:dyDescent="0.35">
      <c r="A27" s="46" t="s">
        <v>131</v>
      </c>
      <c r="B27" s="45" t="s">
        <v>125</v>
      </c>
      <c r="C27" s="47">
        <v>4000</v>
      </c>
      <c r="D27" s="45"/>
    </row>
    <row r="28" spans="1:4" ht="15" customHeight="1" x14ac:dyDescent="0.35">
      <c r="A28" s="123" t="s">
        <v>132</v>
      </c>
      <c r="B28" s="124"/>
      <c r="C28" s="125">
        <f>SUM(C17:C27)</f>
        <v>40114</v>
      </c>
      <c r="D28" s="45"/>
    </row>
    <row r="29" spans="1:4" ht="15" customHeight="1" x14ac:dyDescent="0.35">
      <c r="D29" s="45"/>
    </row>
    <row r="30" spans="1:4" ht="15" customHeight="1" x14ac:dyDescent="0.35">
      <c r="A30" s="46"/>
      <c r="B30" s="45"/>
      <c r="C30" s="45"/>
      <c r="D30" s="45"/>
    </row>
    <row r="31" spans="1:4" ht="15" customHeight="1" x14ac:dyDescent="0.35">
      <c r="A31" s="195" t="s">
        <v>409</v>
      </c>
      <c r="B31" s="193"/>
      <c r="C31" s="193"/>
      <c r="D31" s="193"/>
    </row>
    <row r="32" spans="1:4" ht="15" customHeight="1" x14ac:dyDescent="0.35">
      <c r="A32" s="43" t="s">
        <v>100</v>
      </c>
      <c r="B32" s="44" t="s">
        <v>133</v>
      </c>
      <c r="C32" s="44" t="s">
        <v>134</v>
      </c>
      <c r="D32" s="44" t="s">
        <v>135</v>
      </c>
    </row>
    <row r="33" spans="1:4" ht="15" customHeight="1" x14ac:dyDescent="0.35">
      <c r="A33" s="46" t="s">
        <v>136</v>
      </c>
      <c r="B33" s="45">
        <v>24</v>
      </c>
      <c r="C33" s="47">
        <f>'Marges Produits'!E45*1.2</f>
        <v>1118.4869999999999</v>
      </c>
      <c r="D33" s="47">
        <f>B33*C33</f>
        <v>26843.687999999995</v>
      </c>
    </row>
    <row r="34" spans="1:4" ht="15" customHeight="1" x14ac:dyDescent="0.35">
      <c r="A34" s="46" t="s">
        <v>137</v>
      </c>
      <c r="B34" s="45">
        <v>2</v>
      </c>
      <c r="C34" s="47">
        <v>2500</v>
      </c>
      <c r="D34" s="47">
        <f>B34*C34</f>
        <v>5000</v>
      </c>
    </row>
    <row r="35" spans="1:4" ht="15" customHeight="1" x14ac:dyDescent="0.35">
      <c r="A35" s="46" t="s">
        <v>138</v>
      </c>
      <c r="B35" s="45">
        <v>10</v>
      </c>
      <c r="C35" s="47">
        <f>C33</f>
        <v>1118.4869999999999</v>
      </c>
      <c r="D35" s="47">
        <f>B35*C35</f>
        <v>11184.869999999999</v>
      </c>
    </row>
    <row r="36" spans="1:4" ht="15" customHeight="1" x14ac:dyDescent="0.35">
      <c r="A36" s="46" t="s">
        <v>139</v>
      </c>
      <c r="B36" s="45">
        <v>2</v>
      </c>
      <c r="C36" s="47">
        <v>5570</v>
      </c>
      <c r="D36" s="47">
        <f>B36*C36</f>
        <v>11140</v>
      </c>
    </row>
    <row r="37" spans="1:4" ht="15" customHeight="1" x14ac:dyDescent="0.35">
      <c r="A37" s="43" t="s">
        <v>140</v>
      </c>
      <c r="B37" s="49"/>
      <c r="C37" s="49"/>
      <c r="D37" s="48">
        <f>SUM(D33:D36)</f>
        <v>54168.55799999999</v>
      </c>
    </row>
    <row r="38" spans="1:4" ht="15" customHeight="1" x14ac:dyDescent="0.35">
      <c r="A38" s="46"/>
      <c r="B38" s="45"/>
      <c r="C38" s="45"/>
      <c r="D38" s="45"/>
    </row>
    <row r="39" spans="1:4" ht="17.25" customHeight="1" x14ac:dyDescent="0.35">
      <c r="A39" s="196" t="s">
        <v>141</v>
      </c>
      <c r="B39" s="196"/>
      <c r="C39" s="196"/>
      <c r="D39" s="196"/>
    </row>
    <row r="40" spans="1:4" ht="15" customHeight="1" x14ac:dyDescent="0.35">
      <c r="A40" s="46" t="s">
        <v>142</v>
      </c>
      <c r="B40" s="47">
        <f>D13</f>
        <v>101476</v>
      </c>
      <c r="C40" s="45"/>
      <c r="D40" s="47">
        <f>D13</f>
        <v>101476</v>
      </c>
    </row>
    <row r="41" spans="1:4" ht="15" customHeight="1" x14ac:dyDescent="0.35">
      <c r="A41" s="46" t="s">
        <v>143</v>
      </c>
      <c r="B41" s="47">
        <f>C28</f>
        <v>40114</v>
      </c>
      <c r="C41" s="45"/>
      <c r="D41" s="47">
        <f>C28</f>
        <v>40114</v>
      </c>
    </row>
    <row r="42" spans="1:4" ht="15" customHeight="1" x14ac:dyDescent="0.35">
      <c r="A42" s="46" t="s">
        <v>144</v>
      </c>
      <c r="B42" s="47">
        <f>D37</f>
        <v>54168.55799999999</v>
      </c>
      <c r="C42" s="45"/>
      <c r="D42" s="47">
        <f>D37</f>
        <v>54168.55799999999</v>
      </c>
    </row>
    <row r="43" spans="1:4" ht="15" customHeight="1" x14ac:dyDescent="0.35">
      <c r="A43" s="46"/>
      <c r="B43" s="45"/>
      <c r="C43" s="45"/>
      <c r="D43" s="45"/>
    </row>
    <row r="44" spans="1:4" ht="15" customHeight="1" x14ac:dyDescent="0.35">
      <c r="A44" s="1" t="s">
        <v>145</v>
      </c>
      <c r="B44" s="50">
        <f>SUM(B40:B42)</f>
        <v>195758.55799999999</v>
      </c>
      <c r="C44" s="50"/>
      <c r="D44" s="51">
        <f>SUM(D40:D42)</f>
        <v>195758.55799999999</v>
      </c>
    </row>
    <row r="45" spans="1:4" ht="15" customHeight="1" x14ac:dyDescent="0.35"/>
  </sheetData>
  <mergeCells count="6">
    <mergeCell ref="A31:D31"/>
    <mergeCell ref="A39:D39"/>
    <mergeCell ref="A1:D1"/>
    <mergeCell ref="A5:D5"/>
    <mergeCell ref="A6:D6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zoomScaleNormal="100" workbookViewId="0">
      <selection activeCell="B37" sqref="B37"/>
    </sheetView>
  </sheetViews>
  <sheetFormatPr baseColWidth="10" defaultColWidth="8.6328125" defaultRowHeight="14.5" x14ac:dyDescent="0.35"/>
  <cols>
    <col min="1" max="1" width="30" customWidth="1"/>
    <col min="2" max="2" width="18" customWidth="1"/>
    <col min="3" max="3" width="20" customWidth="1"/>
    <col min="4" max="4" width="18" customWidth="1"/>
  </cols>
  <sheetData>
    <row r="1" spans="1:4" ht="19.5" customHeight="1" x14ac:dyDescent="0.4">
      <c r="A1" s="194" t="s">
        <v>146</v>
      </c>
      <c r="B1" s="194"/>
      <c r="C1" s="194"/>
      <c r="D1" s="194"/>
    </row>
    <row r="3" spans="1:4" ht="17.25" customHeight="1" x14ac:dyDescent="0.35">
      <c r="A3" s="196" t="s">
        <v>147</v>
      </c>
      <c r="B3" s="196"/>
      <c r="C3" s="196"/>
      <c r="D3" s="196"/>
    </row>
    <row r="4" spans="1:4" ht="15" customHeight="1" x14ac:dyDescent="0.35">
      <c r="A4" s="52" t="s">
        <v>148</v>
      </c>
      <c r="B4" s="53">
        <v>189000</v>
      </c>
      <c r="C4" s="46"/>
      <c r="D4" s="46"/>
    </row>
    <row r="5" spans="1:4" ht="15" customHeight="1" x14ac:dyDescent="0.35">
      <c r="A5" s="52" t="s">
        <v>24</v>
      </c>
      <c r="B5" s="54">
        <v>4</v>
      </c>
      <c r="C5" s="46" t="s">
        <v>149</v>
      </c>
      <c r="D5" s="46"/>
    </row>
    <row r="6" spans="1:4" ht="15" customHeight="1" x14ac:dyDescent="0.35">
      <c r="A6" s="52" t="s">
        <v>150</v>
      </c>
      <c r="B6" s="55">
        <v>4.4999999999999998E-2</v>
      </c>
      <c r="C6" s="46"/>
      <c r="D6" s="46"/>
    </row>
    <row r="7" spans="1:4" ht="15" customHeight="1" x14ac:dyDescent="0.35">
      <c r="A7" s="52" t="s">
        <v>151</v>
      </c>
      <c r="B7" s="55">
        <v>3.5999999999999999E-3</v>
      </c>
      <c r="C7" s="46"/>
      <c r="D7" s="46"/>
    </row>
    <row r="8" spans="1:4" ht="15" customHeight="1" x14ac:dyDescent="0.35">
      <c r="A8" s="46"/>
      <c r="B8" s="46"/>
      <c r="C8" s="46"/>
      <c r="D8" s="46"/>
    </row>
    <row r="9" spans="1:4" ht="17.25" customHeight="1" x14ac:dyDescent="0.35">
      <c r="A9" s="196" t="s">
        <v>152</v>
      </c>
      <c r="B9" s="196"/>
      <c r="C9" s="196"/>
      <c r="D9" s="196"/>
    </row>
    <row r="10" spans="1:4" ht="15" customHeight="1" x14ac:dyDescent="0.35">
      <c r="A10" s="56" t="s">
        <v>153</v>
      </c>
      <c r="B10" s="56" t="s">
        <v>154</v>
      </c>
      <c r="C10" s="56" t="s">
        <v>155</v>
      </c>
      <c r="D10" s="56" t="s">
        <v>156</v>
      </c>
    </row>
    <row r="11" spans="1:4" ht="15" customHeight="1" x14ac:dyDescent="0.35">
      <c r="A11" s="46" t="s">
        <v>157</v>
      </c>
      <c r="B11" s="57">
        <v>51720</v>
      </c>
      <c r="C11" s="57">
        <v>680</v>
      </c>
      <c r="D11" s="58">
        <f>B11+C11</f>
        <v>52400</v>
      </c>
    </row>
    <row r="12" spans="1:4" ht="15" customHeight="1" x14ac:dyDescent="0.35">
      <c r="A12" s="46"/>
      <c r="B12" s="46"/>
      <c r="C12" s="46"/>
      <c r="D12" s="46"/>
    </row>
    <row r="13" spans="1:4" ht="17.25" customHeight="1" x14ac:dyDescent="0.35">
      <c r="A13" s="196" t="s">
        <v>158</v>
      </c>
      <c r="B13" s="196"/>
      <c r="C13" s="196"/>
      <c r="D13" s="196"/>
    </row>
    <row r="14" spans="1:4" ht="15" customHeight="1" x14ac:dyDescent="0.35">
      <c r="A14" s="52" t="s">
        <v>159</v>
      </c>
      <c r="B14" s="53">
        <v>4310</v>
      </c>
      <c r="C14" s="46"/>
      <c r="D14" s="46"/>
    </row>
    <row r="15" spans="1:4" ht="15" customHeight="1" x14ac:dyDescent="0.35">
      <c r="A15" s="52" t="s">
        <v>160</v>
      </c>
      <c r="B15" s="53">
        <f>B14*12*B5</f>
        <v>206880</v>
      </c>
      <c r="C15" s="46"/>
      <c r="D15" s="46"/>
    </row>
    <row r="16" spans="1:4" ht="15" customHeight="1" x14ac:dyDescent="0.35">
      <c r="A16" s="52" t="s">
        <v>161</v>
      </c>
      <c r="B16" s="53">
        <f>B39</f>
        <v>17873</v>
      </c>
      <c r="C16" s="46"/>
      <c r="D16" s="46"/>
    </row>
    <row r="17" spans="1:4" ht="15" customHeight="1" x14ac:dyDescent="0.35">
      <c r="A17" s="52" t="s">
        <v>162</v>
      </c>
      <c r="B17" s="53">
        <v>2722</v>
      </c>
      <c r="C17" s="46"/>
      <c r="D17" s="46"/>
    </row>
    <row r="18" spans="1:4" ht="15" customHeight="1" x14ac:dyDescent="0.35">
      <c r="A18" s="46"/>
      <c r="B18" s="46"/>
      <c r="C18" s="46"/>
      <c r="D18" s="46"/>
    </row>
    <row r="19" spans="1:4" ht="15" customHeight="1" x14ac:dyDescent="0.35">
      <c r="A19" s="198" t="s">
        <v>163</v>
      </c>
      <c r="B19" s="198"/>
      <c r="C19" s="198"/>
      <c r="D19" s="198"/>
    </row>
    <row r="20" spans="1:4" ht="17.25" customHeight="1" x14ac:dyDescent="0.35">
      <c r="A20" s="59" t="s">
        <v>164</v>
      </c>
      <c r="B20" s="60">
        <f>D11</f>
        <v>52400</v>
      </c>
      <c r="C20" s="46"/>
      <c r="D20" s="46"/>
    </row>
    <row r="24" spans="1:4" ht="15" customHeight="1" x14ac:dyDescent="0.35">
      <c r="A24" s="30" t="s">
        <v>165</v>
      </c>
    </row>
    <row r="25" spans="1:4" ht="15" customHeight="1" x14ac:dyDescent="0.35">
      <c r="A25" t="s">
        <v>166</v>
      </c>
      <c r="B25" s="61">
        <v>4310</v>
      </c>
    </row>
    <row r="26" spans="1:4" ht="15" customHeight="1" x14ac:dyDescent="0.35">
      <c r="A26" t="s">
        <v>167</v>
      </c>
      <c r="B26" s="61">
        <f>ROUND(B4*B7/12,0)</f>
        <v>57</v>
      </c>
    </row>
    <row r="27" spans="1:4" ht="15" customHeight="1" x14ac:dyDescent="0.35">
      <c r="A27" s="30" t="s">
        <v>168</v>
      </c>
      <c r="B27" s="61">
        <f>B25+B26</f>
        <v>4367</v>
      </c>
    </row>
    <row r="29" spans="1:4" ht="15" customHeight="1" x14ac:dyDescent="0.35">
      <c r="A29" t="s">
        <v>169</v>
      </c>
      <c r="B29" s="61">
        <f>B27*12</f>
        <v>52404</v>
      </c>
    </row>
    <row r="30" spans="1:4" ht="15" customHeight="1" x14ac:dyDescent="0.35">
      <c r="A30" t="s">
        <v>170</v>
      </c>
      <c r="B30" s="61">
        <f>B29*B5</f>
        <v>209616</v>
      </c>
    </row>
    <row r="32" spans="1:4" ht="14.25" customHeight="1" x14ac:dyDescent="0.35">
      <c r="A32" t="s">
        <v>171</v>
      </c>
    </row>
    <row r="33" spans="1:4" ht="14.25" customHeight="1" x14ac:dyDescent="0.35">
      <c r="A33" t="s">
        <v>172</v>
      </c>
      <c r="B33" t="s">
        <v>173</v>
      </c>
      <c r="C33" t="s">
        <v>174</v>
      </c>
      <c r="D33" t="s">
        <v>175</v>
      </c>
    </row>
    <row r="34" spans="1:4" ht="14.25" customHeight="1" x14ac:dyDescent="0.35">
      <c r="A34" t="s">
        <v>172</v>
      </c>
      <c r="B34" t="s">
        <v>173</v>
      </c>
      <c r="C34" t="s">
        <v>176</v>
      </c>
    </row>
    <row r="35" spans="1:4" ht="14.25" customHeight="1" x14ac:dyDescent="0.35">
      <c r="A35">
        <v>2026</v>
      </c>
      <c r="B35" s="128">
        <v>7602</v>
      </c>
      <c r="C35" s="128">
        <f>$B$17/4</f>
        <v>680.5</v>
      </c>
      <c r="D35" s="128">
        <f>B35+C35</f>
        <v>8282.5</v>
      </c>
    </row>
    <row r="36" spans="1:4" ht="14.25" customHeight="1" x14ac:dyDescent="0.35">
      <c r="A36">
        <v>2027</v>
      </c>
      <c r="B36" s="128">
        <v>5576</v>
      </c>
      <c r="C36" s="128">
        <f t="shared" ref="C36:C38" si="0">$B$17/4</f>
        <v>680.5</v>
      </c>
      <c r="D36" s="128">
        <f t="shared" ref="D36:D38" si="1">B36+C36</f>
        <v>6256.5</v>
      </c>
    </row>
    <row r="37" spans="1:4" ht="14.25" customHeight="1" x14ac:dyDescent="0.35">
      <c r="A37">
        <v>2028</v>
      </c>
      <c r="B37" s="128">
        <v>3456</v>
      </c>
      <c r="C37" s="128">
        <f t="shared" si="0"/>
        <v>680.5</v>
      </c>
      <c r="D37" s="128">
        <f t="shared" si="1"/>
        <v>4136.5</v>
      </c>
    </row>
    <row r="38" spans="1:4" ht="14.25" customHeight="1" x14ac:dyDescent="0.35">
      <c r="A38">
        <v>2029</v>
      </c>
      <c r="B38" s="128">
        <v>1239</v>
      </c>
      <c r="C38" s="128">
        <f t="shared" si="0"/>
        <v>680.5</v>
      </c>
      <c r="D38" s="128">
        <f t="shared" si="1"/>
        <v>1919.5</v>
      </c>
    </row>
    <row r="39" spans="1:4" ht="14.25" customHeight="1" x14ac:dyDescent="0.35">
      <c r="A39" t="s">
        <v>177</v>
      </c>
      <c r="B39" s="139">
        <f>SUM(B35:B38)</f>
        <v>17873</v>
      </c>
      <c r="C39" s="139">
        <f t="shared" ref="C39:D39" si="2">SUM(C35:C38)</f>
        <v>2722</v>
      </c>
      <c r="D39" s="139">
        <f t="shared" si="2"/>
        <v>20595</v>
      </c>
    </row>
    <row r="41" spans="1:4" ht="14.25" customHeight="1" x14ac:dyDescent="0.35">
      <c r="A41" t="s">
        <v>178</v>
      </c>
    </row>
    <row r="42" spans="1:4" ht="14.25" customHeight="1" x14ac:dyDescent="0.35">
      <c r="A42" t="s">
        <v>179</v>
      </c>
    </row>
    <row r="45" spans="1:4" ht="14.25" customHeight="1" x14ac:dyDescent="0.35">
      <c r="A45" t="s">
        <v>180</v>
      </c>
    </row>
    <row r="46" spans="1:4" ht="14.25" customHeight="1" x14ac:dyDescent="0.35">
      <c r="A46" s="30" t="s">
        <v>181</v>
      </c>
    </row>
    <row r="48" spans="1:4" ht="14.25" customHeight="1" x14ac:dyDescent="0.35">
      <c r="A48" s="30" t="s">
        <v>182</v>
      </c>
      <c r="B48" s="30" t="s">
        <v>183</v>
      </c>
      <c r="C48" s="30" t="s">
        <v>184</v>
      </c>
      <c r="D48" s="30" t="s">
        <v>185</v>
      </c>
    </row>
    <row r="49" spans="1:4" ht="14.25" customHeight="1" x14ac:dyDescent="0.35">
      <c r="A49" t="s">
        <v>186</v>
      </c>
      <c r="B49">
        <v>0</v>
      </c>
      <c r="C49">
        <v>0</v>
      </c>
    </row>
    <row r="50" spans="1:4" ht="14.25" customHeight="1" x14ac:dyDescent="0.35">
      <c r="A50" t="s">
        <v>187</v>
      </c>
      <c r="B50">
        <v>44118</v>
      </c>
      <c r="C50">
        <v>7602</v>
      </c>
      <c r="D50">
        <v>189000</v>
      </c>
    </row>
    <row r="51" spans="1:4" ht="14.25" customHeight="1" x14ac:dyDescent="0.35">
      <c r="A51" t="s">
        <v>188</v>
      </c>
      <c r="B51">
        <v>46142</v>
      </c>
      <c r="C51">
        <v>5576</v>
      </c>
      <c r="D51">
        <v>144882</v>
      </c>
    </row>
    <row r="52" spans="1:4" ht="14.25" customHeight="1" x14ac:dyDescent="0.35">
      <c r="A52" t="s">
        <v>189</v>
      </c>
      <c r="B52">
        <v>48262</v>
      </c>
      <c r="C52">
        <v>3456</v>
      </c>
      <c r="D52">
        <v>98740</v>
      </c>
    </row>
    <row r="53" spans="1:4" ht="14.25" customHeight="1" x14ac:dyDescent="0.35">
      <c r="A53" t="s">
        <v>190</v>
      </c>
      <c r="B53">
        <v>50478</v>
      </c>
      <c r="C53">
        <v>1239</v>
      </c>
      <c r="D53">
        <v>50478</v>
      </c>
    </row>
    <row r="54" spans="1:4" ht="14.25" customHeight="1" x14ac:dyDescent="0.35">
      <c r="A54" s="30" t="s">
        <v>15</v>
      </c>
      <c r="B54">
        <f>SUM(B49:B53)</f>
        <v>189000</v>
      </c>
      <c r="C54">
        <f>SUM(C49:C53)</f>
        <v>17873</v>
      </c>
    </row>
    <row r="56" spans="1:4" ht="14.25" customHeight="1" x14ac:dyDescent="0.35">
      <c r="A56" t="s">
        <v>191</v>
      </c>
    </row>
    <row r="57" spans="1:4" ht="14.25" customHeight="1" x14ac:dyDescent="0.35">
      <c r="A57" t="s">
        <v>192</v>
      </c>
    </row>
    <row r="58" spans="1:4" ht="14.25" customHeight="1" x14ac:dyDescent="0.35">
      <c r="A58" t="s">
        <v>193</v>
      </c>
    </row>
    <row r="59" spans="1:4" ht="14.25" customHeight="1" x14ac:dyDescent="0.35">
      <c r="A59" t="s">
        <v>194</v>
      </c>
    </row>
  </sheetData>
  <mergeCells count="5">
    <mergeCell ref="A1:D1"/>
    <mergeCell ref="A3:D3"/>
    <mergeCell ref="A9:D9"/>
    <mergeCell ref="A13:D13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sqref="A1:C1"/>
    </sheetView>
  </sheetViews>
  <sheetFormatPr baseColWidth="10" defaultColWidth="8.6328125" defaultRowHeight="14.5" x14ac:dyDescent="0.35"/>
  <cols>
    <col min="1" max="1" width="40" customWidth="1"/>
    <col min="2" max="2" width="28" customWidth="1"/>
    <col min="3" max="3" width="18" customWidth="1"/>
  </cols>
  <sheetData>
    <row r="1" spans="1:3" ht="19.5" customHeight="1" x14ac:dyDescent="0.4">
      <c r="A1" s="194" t="s">
        <v>195</v>
      </c>
      <c r="B1" s="194"/>
      <c r="C1" s="194"/>
    </row>
    <row r="2" spans="1:3" ht="15" customHeight="1" x14ac:dyDescent="0.35">
      <c r="A2" s="42" t="s">
        <v>196</v>
      </c>
    </row>
    <row r="4" spans="1:3" ht="17.25" customHeight="1" x14ac:dyDescent="0.35">
      <c r="A4" s="196" t="s">
        <v>197</v>
      </c>
      <c r="B4" s="196"/>
      <c r="C4" s="196"/>
    </row>
    <row r="5" spans="1:3" ht="15" customHeight="1" x14ac:dyDescent="0.35">
      <c r="A5" s="56" t="s">
        <v>100</v>
      </c>
      <c r="B5" s="56" t="s">
        <v>198</v>
      </c>
      <c r="C5" s="56" t="s">
        <v>199</v>
      </c>
    </row>
    <row r="6" spans="1:3" ht="15" customHeight="1" x14ac:dyDescent="0.35">
      <c r="A6" s="52" t="s">
        <v>200</v>
      </c>
      <c r="B6" s="62" t="s">
        <v>201</v>
      </c>
      <c r="C6" s="63">
        <v>0.3</v>
      </c>
    </row>
    <row r="7" spans="1:3" ht="15" customHeight="1" x14ac:dyDescent="0.35">
      <c r="A7" s="52" t="s">
        <v>202</v>
      </c>
      <c r="B7" s="62" t="s">
        <v>203</v>
      </c>
      <c r="C7" s="63">
        <v>0.5</v>
      </c>
    </row>
    <row r="8" spans="1:3" ht="15" customHeight="1" x14ac:dyDescent="0.35">
      <c r="A8" s="52" t="s">
        <v>174</v>
      </c>
      <c r="B8" s="62" t="s">
        <v>204</v>
      </c>
      <c r="C8" s="63">
        <v>8.0000000000000002E-3</v>
      </c>
    </row>
    <row r="9" spans="1:3" ht="15" customHeight="1" x14ac:dyDescent="0.35">
      <c r="A9" s="46"/>
      <c r="B9" s="46"/>
      <c r="C9" s="46"/>
    </row>
    <row r="10" spans="1:3" ht="15" customHeight="1" x14ac:dyDescent="0.35">
      <c r="A10" s="199" t="s">
        <v>205</v>
      </c>
      <c r="B10" s="199"/>
      <c r="C10" s="199"/>
    </row>
  </sheetData>
  <mergeCells count="3">
    <mergeCell ref="A1:C1"/>
    <mergeCell ref="A4:C4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topLeftCell="A18" zoomScaleNormal="100" workbookViewId="0">
      <selection activeCell="G45" sqref="G45"/>
    </sheetView>
  </sheetViews>
  <sheetFormatPr baseColWidth="10" defaultColWidth="8.6328125" defaultRowHeight="14.5" x14ac:dyDescent="0.35"/>
  <cols>
    <col min="1" max="1" width="44.1796875" bestFit="1" customWidth="1"/>
    <col min="2" max="4" width="16" customWidth="1"/>
    <col min="5" max="6" width="23.08984375" bestFit="1" customWidth="1"/>
  </cols>
  <sheetData>
    <row r="1" spans="1:6" ht="19.5" customHeight="1" x14ac:dyDescent="0.4">
      <c r="A1" s="194" t="s">
        <v>206</v>
      </c>
      <c r="B1" s="194"/>
      <c r="C1" s="194"/>
      <c r="D1" s="194"/>
      <c r="E1" s="194"/>
    </row>
    <row r="3" spans="1:6" ht="15" customHeight="1" x14ac:dyDescent="0.35">
      <c r="A3" s="203" t="s">
        <v>207</v>
      </c>
      <c r="B3" s="204"/>
      <c r="C3" s="204"/>
      <c r="D3" s="204"/>
      <c r="E3" s="204"/>
      <c r="F3" s="204"/>
    </row>
    <row r="4" spans="1:6" ht="15" customHeight="1" x14ac:dyDescent="0.35">
      <c r="A4" s="200" t="s">
        <v>208</v>
      </c>
      <c r="B4" s="200"/>
      <c r="C4" s="200"/>
      <c r="D4" s="200"/>
      <c r="E4" s="200"/>
    </row>
    <row r="5" spans="1:6" ht="15" customHeight="1" x14ac:dyDescent="0.35">
      <c r="A5" s="43" t="s">
        <v>209</v>
      </c>
      <c r="B5" s="43" t="s">
        <v>210</v>
      </c>
      <c r="C5" s="46"/>
      <c r="D5" s="46"/>
      <c r="E5" s="46"/>
    </row>
    <row r="6" spans="1:6" ht="15" customHeight="1" x14ac:dyDescent="0.35">
      <c r="A6" s="46" t="s">
        <v>211</v>
      </c>
      <c r="B6" s="64">
        <v>1980</v>
      </c>
      <c r="C6" s="46"/>
      <c r="D6" s="46"/>
      <c r="E6" s="46"/>
    </row>
    <row r="7" spans="1:6" ht="15" customHeight="1" x14ac:dyDescent="0.35">
      <c r="A7" s="46" t="s">
        <v>212</v>
      </c>
      <c r="B7" s="64">
        <v>1650</v>
      </c>
      <c r="C7" s="46"/>
      <c r="D7" s="46"/>
      <c r="E7" s="46"/>
    </row>
    <row r="8" spans="1:6" ht="15" customHeight="1" x14ac:dyDescent="0.35">
      <c r="A8" s="46" t="s">
        <v>213</v>
      </c>
      <c r="B8" s="65">
        <v>0</v>
      </c>
      <c r="C8" s="46"/>
      <c r="D8" s="46"/>
      <c r="E8" s="46"/>
    </row>
    <row r="9" spans="1:6" ht="15" customHeight="1" x14ac:dyDescent="0.35">
      <c r="A9" s="46"/>
      <c r="B9" s="46"/>
      <c r="C9" s="46"/>
      <c r="D9" s="46"/>
      <c r="E9" s="46"/>
    </row>
    <row r="10" spans="1:6" ht="15" customHeight="1" x14ac:dyDescent="0.35">
      <c r="A10" s="46" t="s">
        <v>214</v>
      </c>
      <c r="B10" s="64">
        <v>838</v>
      </c>
      <c r="C10" s="46"/>
      <c r="D10" s="46"/>
      <c r="E10" s="46"/>
    </row>
    <row r="11" spans="1:6" ht="15" customHeight="1" x14ac:dyDescent="0.35">
      <c r="A11" s="46" t="s">
        <v>215</v>
      </c>
      <c r="B11" s="64">
        <v>45</v>
      </c>
      <c r="C11" s="46"/>
      <c r="D11" s="46"/>
      <c r="E11" s="46"/>
    </row>
    <row r="12" spans="1:6" ht="15" customHeight="1" x14ac:dyDescent="0.35">
      <c r="A12" s="46" t="s">
        <v>216</v>
      </c>
      <c r="B12" s="64">
        <v>22.63</v>
      </c>
      <c r="C12" s="46"/>
      <c r="D12" s="46"/>
      <c r="E12" s="46"/>
    </row>
    <row r="13" spans="1:6" ht="15" customHeight="1" x14ac:dyDescent="0.35">
      <c r="C13" s="46"/>
      <c r="D13" s="46"/>
      <c r="E13" s="46"/>
    </row>
    <row r="14" spans="1:6" ht="15" customHeight="1" x14ac:dyDescent="0.35">
      <c r="A14" s="134" t="s">
        <v>405</v>
      </c>
      <c r="B14" s="66">
        <f>SUM(B10:B12)</f>
        <v>905.63</v>
      </c>
      <c r="C14" s="46"/>
      <c r="D14" s="46"/>
      <c r="E14" s="46"/>
    </row>
    <row r="15" spans="1:6" ht="15" customHeight="1" x14ac:dyDescent="0.35">
      <c r="A15" s="46" t="s">
        <v>217</v>
      </c>
      <c r="B15" s="64">
        <f>0.015*B6</f>
        <v>29.7</v>
      </c>
      <c r="C15" s="46"/>
      <c r="D15" s="46"/>
      <c r="E15" s="46"/>
    </row>
    <row r="16" spans="1:6" ht="15" customHeight="1" x14ac:dyDescent="0.35">
      <c r="A16" s="46"/>
      <c r="B16" s="46"/>
      <c r="C16" s="46"/>
      <c r="D16" s="46"/>
      <c r="E16" s="46"/>
    </row>
    <row r="17" spans="1:6" ht="15" customHeight="1" x14ac:dyDescent="0.35">
      <c r="A17" s="59" t="s">
        <v>218</v>
      </c>
      <c r="B17" s="67">
        <f>B7-B10-B11-B12-B15</f>
        <v>714.67</v>
      </c>
      <c r="C17" s="46"/>
      <c r="D17" s="46"/>
      <c r="E17" s="46"/>
    </row>
    <row r="18" spans="1:6" ht="15" customHeight="1" x14ac:dyDescent="0.35">
      <c r="A18" s="59" t="s">
        <v>219</v>
      </c>
      <c r="B18" s="68">
        <f>1/B7*B17</f>
        <v>0.43313333333333331</v>
      </c>
      <c r="C18" s="46"/>
      <c r="D18" s="46"/>
      <c r="E18" s="46"/>
    </row>
    <row r="19" spans="1:6" ht="15" customHeight="1" x14ac:dyDescent="0.35">
      <c r="A19" s="46"/>
      <c r="B19" s="46"/>
      <c r="C19" s="46"/>
      <c r="D19" s="46"/>
      <c r="E19" s="46"/>
    </row>
    <row r="20" spans="1:6" ht="15" customHeight="1" x14ac:dyDescent="0.35">
      <c r="A20" s="203" t="s">
        <v>220</v>
      </c>
      <c r="B20" s="204"/>
      <c r="C20" s="204"/>
      <c r="D20" s="204"/>
      <c r="E20" s="204"/>
      <c r="F20" s="204"/>
    </row>
    <row r="21" spans="1:6" ht="15" customHeight="1" x14ac:dyDescent="0.35">
      <c r="A21" s="200" t="s">
        <v>221</v>
      </c>
      <c r="B21" s="200"/>
      <c r="C21" s="200"/>
      <c r="D21" s="200"/>
      <c r="E21" s="200"/>
    </row>
    <row r="22" spans="1:6" ht="15" customHeight="1" x14ac:dyDescent="0.35">
      <c r="A22" s="56" t="s">
        <v>209</v>
      </c>
      <c r="B22" s="56" t="s">
        <v>210</v>
      </c>
      <c r="C22" s="56" t="s">
        <v>222</v>
      </c>
      <c r="D22" s="56" t="s">
        <v>223</v>
      </c>
    </row>
    <row r="23" spans="1:6" ht="15" customHeight="1" x14ac:dyDescent="0.35">
      <c r="A23" s="46" t="s">
        <v>211</v>
      </c>
      <c r="B23" s="64">
        <v>3200</v>
      </c>
      <c r="C23" s="64">
        <v>4200</v>
      </c>
      <c r="D23" s="64">
        <v>2800</v>
      </c>
    </row>
    <row r="24" spans="1:6" ht="15" customHeight="1" x14ac:dyDescent="0.35">
      <c r="A24" s="46" t="s">
        <v>212</v>
      </c>
      <c r="B24" s="64">
        <v>2666.67</v>
      </c>
      <c r="C24" s="64">
        <v>3500</v>
      </c>
      <c r="D24" s="64">
        <v>2333.33</v>
      </c>
    </row>
    <row r="25" spans="1:6" ht="15" customHeight="1" x14ac:dyDescent="0.35"/>
    <row r="26" spans="1:6" ht="15" customHeight="1" x14ac:dyDescent="0.35">
      <c r="A26" s="46"/>
      <c r="B26" s="64"/>
      <c r="C26" s="64"/>
      <c r="D26" s="64"/>
    </row>
    <row r="27" spans="1:6" ht="15" customHeight="1" x14ac:dyDescent="0.35"/>
    <row r="28" spans="1:6" ht="15" customHeight="1" x14ac:dyDescent="0.35">
      <c r="A28" s="46" t="s">
        <v>397</v>
      </c>
      <c r="B28" s="64">
        <v>838</v>
      </c>
      <c r="C28" s="64">
        <v>1099</v>
      </c>
      <c r="D28" s="64">
        <v>680</v>
      </c>
    </row>
    <row r="29" spans="1:6" ht="15" customHeight="1" x14ac:dyDescent="0.35">
      <c r="A29" s="46" t="s">
        <v>215</v>
      </c>
      <c r="B29" s="64">
        <v>45</v>
      </c>
      <c r="C29" s="64">
        <v>45</v>
      </c>
      <c r="D29" s="64">
        <v>45</v>
      </c>
    </row>
    <row r="30" spans="1:6" ht="15" customHeight="1" x14ac:dyDescent="0.35">
      <c r="A30" s="46" t="s">
        <v>216</v>
      </c>
      <c r="B30" s="64">
        <v>22.63</v>
      </c>
      <c r="C30" s="64">
        <v>29.67</v>
      </c>
      <c r="D30" s="64">
        <v>18.36</v>
      </c>
    </row>
    <row r="31" spans="1:6" ht="15" customHeight="1" x14ac:dyDescent="0.35"/>
    <row r="32" spans="1:6" ht="15" customHeight="1" x14ac:dyDescent="0.35">
      <c r="A32" s="134" t="s">
        <v>405</v>
      </c>
      <c r="B32" s="66">
        <f>SUM(B28:B30)</f>
        <v>905.63</v>
      </c>
      <c r="C32" s="66">
        <f t="shared" ref="C32:D32" si="0">SUM(C28:C30)</f>
        <v>1173.67</v>
      </c>
      <c r="D32" s="66">
        <f t="shared" si="0"/>
        <v>743.36</v>
      </c>
    </row>
    <row r="33" spans="1:7" ht="15" customHeight="1" x14ac:dyDescent="0.35">
      <c r="A33" s="46" t="s">
        <v>406</v>
      </c>
      <c r="B33" s="64">
        <f>0.015*B23</f>
        <v>48</v>
      </c>
      <c r="C33" s="64">
        <f t="shared" ref="C33:D33" si="1">0.015*C23</f>
        <v>63</v>
      </c>
      <c r="D33" s="64">
        <f t="shared" si="1"/>
        <v>42</v>
      </c>
    </row>
    <row r="34" spans="1:7" ht="15" customHeight="1" x14ac:dyDescent="0.35">
      <c r="A34" s="69" t="s">
        <v>224</v>
      </c>
      <c r="B34" s="70">
        <f>B24*0.2</f>
        <v>533.33400000000006</v>
      </c>
      <c r="C34" s="70">
        <f t="shared" ref="C34:D34" si="2">C24*0.2</f>
        <v>700</v>
      </c>
      <c r="D34" s="70">
        <f t="shared" si="2"/>
        <v>466.666</v>
      </c>
    </row>
    <row r="35" spans="1:7" ht="15" customHeight="1" x14ac:dyDescent="0.35">
      <c r="A35" s="59" t="s">
        <v>218</v>
      </c>
      <c r="B35" s="67">
        <f>B24-B34-B28-B29-B30-B33</f>
        <v>1179.7060000000001</v>
      </c>
      <c r="C35" s="67">
        <f>C24-C34-C28-C29-C30-C33</f>
        <v>1563.33</v>
      </c>
      <c r="D35" s="67">
        <f>D24-D34-D28-D29-D30-D33</f>
        <v>1081.3040000000001</v>
      </c>
    </row>
    <row r="36" spans="1:7" ht="15" customHeight="1" x14ac:dyDescent="0.35">
      <c r="A36" s="59" t="s">
        <v>219</v>
      </c>
      <c r="B36" s="68">
        <f>1/B24*B35</f>
        <v>0.44238919701350377</v>
      </c>
      <c r="C36" s="68">
        <f>1/C24*C35</f>
        <v>0.44666571428571428</v>
      </c>
      <c r="D36" s="68">
        <f>1/D24*D35</f>
        <v>0.46341666202380294</v>
      </c>
    </row>
    <row r="37" spans="1:7" ht="15" customHeight="1" x14ac:dyDescent="0.35">
      <c r="A37" s="46"/>
      <c r="B37" s="46"/>
      <c r="C37" s="46"/>
      <c r="D37" s="46"/>
      <c r="E37" s="46"/>
    </row>
    <row r="38" spans="1:7" ht="15" customHeight="1" x14ac:dyDescent="0.35">
      <c r="A38" s="201" t="s">
        <v>399</v>
      </c>
      <c r="B38" s="202"/>
      <c r="C38" s="202"/>
      <c r="D38" s="202"/>
      <c r="E38" s="202"/>
      <c r="F38" s="202"/>
    </row>
    <row r="39" spans="1:7" ht="15" customHeight="1" x14ac:dyDescent="0.35">
      <c r="A39" s="43" t="s">
        <v>225</v>
      </c>
      <c r="B39" s="43" t="s">
        <v>226</v>
      </c>
      <c r="C39" s="135" t="s">
        <v>401</v>
      </c>
      <c r="D39" s="43" t="s">
        <v>227</v>
      </c>
      <c r="E39" s="126" t="s">
        <v>404</v>
      </c>
      <c r="F39" s="126" t="s">
        <v>398</v>
      </c>
      <c r="G39" s="126" t="s">
        <v>462</v>
      </c>
    </row>
    <row r="40" spans="1:7" ht="15" customHeight="1" x14ac:dyDescent="0.35">
      <c r="A40" s="46" t="s">
        <v>228</v>
      </c>
      <c r="B40" s="46" t="s">
        <v>210</v>
      </c>
      <c r="C40" s="57">
        <f>B7</f>
        <v>1650</v>
      </c>
      <c r="D40" s="71">
        <f>B17</f>
        <v>714.67</v>
      </c>
      <c r="E40" s="137">
        <f>B14</f>
        <v>905.63</v>
      </c>
      <c r="F40" s="127">
        <v>0.3</v>
      </c>
      <c r="G40" s="228">
        <f>B18</f>
        <v>0.43313333333333331</v>
      </c>
    </row>
    <row r="41" spans="1:7" ht="15" customHeight="1" x14ac:dyDescent="0.35">
      <c r="A41" s="46" t="s">
        <v>229</v>
      </c>
      <c r="B41" s="46" t="s">
        <v>210</v>
      </c>
      <c r="C41" s="57">
        <f>B24</f>
        <v>2666.67</v>
      </c>
      <c r="D41" s="71">
        <f>B35</f>
        <v>1179.7060000000001</v>
      </c>
      <c r="E41" s="137">
        <f>B32</f>
        <v>905.63</v>
      </c>
      <c r="F41" s="127">
        <v>0.2</v>
      </c>
      <c r="G41" s="228">
        <f>B36</f>
        <v>0.44238919701350377</v>
      </c>
    </row>
    <row r="42" spans="1:7" ht="15" customHeight="1" x14ac:dyDescent="0.35">
      <c r="A42" s="46" t="s">
        <v>229</v>
      </c>
      <c r="B42" s="46" t="s">
        <v>222</v>
      </c>
      <c r="C42" s="57">
        <f>C24</f>
        <v>3500</v>
      </c>
      <c r="D42" s="71">
        <f>C35</f>
        <v>1563.33</v>
      </c>
      <c r="E42" s="137">
        <f>C32</f>
        <v>1173.67</v>
      </c>
      <c r="F42" s="127">
        <v>0.25</v>
      </c>
      <c r="G42" s="228">
        <f>C36</f>
        <v>0.44666571428571428</v>
      </c>
    </row>
    <row r="43" spans="1:7" ht="15" customHeight="1" x14ac:dyDescent="0.35">
      <c r="A43" s="46" t="s">
        <v>229</v>
      </c>
      <c r="B43" s="46" t="s">
        <v>223</v>
      </c>
      <c r="C43" s="57">
        <f>D24</f>
        <v>2333.33</v>
      </c>
      <c r="D43" s="71">
        <f>D35</f>
        <v>1081.3040000000001</v>
      </c>
      <c r="E43" s="137">
        <f>D32</f>
        <v>743.36</v>
      </c>
      <c r="F43" s="127">
        <v>0.25</v>
      </c>
      <c r="G43" s="228">
        <f>D36</f>
        <v>0.46341666202380294</v>
      </c>
    </row>
    <row r="44" spans="1:7" ht="15" customHeight="1" thickBot="1" x14ac:dyDescent="0.4"/>
    <row r="45" spans="1:7" ht="16" thickBot="1" x14ac:dyDescent="0.4">
      <c r="A45" s="129" t="s">
        <v>400</v>
      </c>
      <c r="B45" s="130"/>
      <c r="C45" s="133">
        <f>(C40*F40)+(C41*F41)+(C42*F42)+(C43*F43)</f>
        <v>2486.6665000000003</v>
      </c>
      <c r="D45" s="131">
        <f>(D40*F40)+(D41*F41)+(D42*F42)+(D43*F43)</f>
        <v>1111.5007000000001</v>
      </c>
      <c r="E45" s="131">
        <f>(E40*F40)+(E41*F41)+(E42*F42)+(E43*F43)</f>
        <v>932.07249999999999</v>
      </c>
      <c r="F45" s="131"/>
      <c r="G45" s="229">
        <f>(G40*F40)+(G41*F41)+(G42*F42)+(G43*F43)</f>
        <v>0.44593843348008005</v>
      </c>
    </row>
  </sheetData>
  <mergeCells count="6">
    <mergeCell ref="A1:E1"/>
    <mergeCell ref="A4:E4"/>
    <mergeCell ref="A21:E21"/>
    <mergeCell ref="A38:F38"/>
    <mergeCell ref="A20:F20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8"/>
  <sheetViews>
    <sheetView zoomScaleNormal="100" workbookViewId="0">
      <selection activeCell="D90" sqref="D90"/>
    </sheetView>
  </sheetViews>
  <sheetFormatPr baseColWidth="10" defaultColWidth="8.6328125" defaultRowHeight="14.5" x14ac:dyDescent="0.35"/>
  <cols>
    <col min="1" max="1" width="45" customWidth="1"/>
    <col min="2" max="2" width="23.453125" bestFit="1" customWidth="1"/>
    <col min="3" max="3" width="18" customWidth="1"/>
    <col min="4" max="4" width="15" customWidth="1"/>
  </cols>
  <sheetData>
    <row r="1" spans="1:4" ht="19.5" customHeight="1" x14ac:dyDescent="0.4">
      <c r="A1" s="194" t="s">
        <v>243</v>
      </c>
      <c r="B1" s="194"/>
      <c r="C1" s="194"/>
      <c r="D1" s="194"/>
    </row>
    <row r="3" spans="1:4" ht="15" customHeight="1" x14ac:dyDescent="0.35">
      <c r="A3" s="205" t="s">
        <v>244</v>
      </c>
      <c r="B3" s="205"/>
      <c r="C3" s="205"/>
      <c r="D3" s="205"/>
    </row>
    <row r="4" spans="1:4" ht="15" customHeight="1" x14ac:dyDescent="0.35">
      <c r="A4" s="56" t="s">
        <v>245</v>
      </c>
      <c r="B4" s="56" t="s">
        <v>246</v>
      </c>
      <c r="C4" s="56" t="s">
        <v>6</v>
      </c>
      <c r="D4" s="56" t="s">
        <v>247</v>
      </c>
    </row>
    <row r="5" spans="1:4" ht="15" customHeight="1" x14ac:dyDescent="0.35">
      <c r="A5" s="46" t="s">
        <v>248</v>
      </c>
      <c r="B5" s="57">
        <v>104000</v>
      </c>
      <c r="C5" s="57">
        <v>55000</v>
      </c>
      <c r="D5" s="72">
        <v>0.55000000000000004</v>
      </c>
    </row>
    <row r="6" spans="1:4" ht="15" customHeight="1" x14ac:dyDescent="0.35">
      <c r="A6" s="46" t="s">
        <v>10</v>
      </c>
      <c r="B6" s="57">
        <v>85000</v>
      </c>
      <c r="C6" s="57">
        <v>45000</v>
      </c>
      <c r="D6" s="72">
        <v>0.45</v>
      </c>
    </row>
    <row r="7" spans="1:4" ht="15" customHeight="1" x14ac:dyDescent="0.35">
      <c r="A7" s="85" t="s">
        <v>249</v>
      </c>
      <c r="B7" s="86">
        <f>SUM(B5:B6)</f>
        <v>189000</v>
      </c>
      <c r="C7" s="86">
        <f>SUM(C5:C6)</f>
        <v>100000</v>
      </c>
      <c r="D7" s="87">
        <f>SUM(D5:D6)</f>
        <v>1</v>
      </c>
    </row>
    <row r="8" spans="1:4" ht="15" customHeight="1" x14ac:dyDescent="0.35">
      <c r="A8" s="46"/>
      <c r="B8" s="46"/>
      <c r="C8" s="46"/>
      <c r="D8" s="46"/>
    </row>
    <row r="9" spans="1:4" ht="15" customHeight="1" x14ac:dyDescent="0.35">
      <c r="A9" s="205" t="s">
        <v>250</v>
      </c>
      <c r="B9" s="205"/>
      <c r="C9" s="205"/>
      <c r="D9" s="205"/>
    </row>
    <row r="10" spans="1:4" ht="15" customHeight="1" x14ac:dyDescent="0.35">
      <c r="A10" s="56" t="s">
        <v>82</v>
      </c>
      <c r="B10" s="56" t="s">
        <v>23</v>
      </c>
      <c r="C10" s="56" t="s">
        <v>108</v>
      </c>
      <c r="D10" s="56" t="s">
        <v>172</v>
      </c>
    </row>
    <row r="11" spans="1:4" ht="15" customHeight="1" x14ac:dyDescent="0.35">
      <c r="A11" s="46" t="s">
        <v>251</v>
      </c>
      <c r="B11" s="57">
        <v>189000</v>
      </c>
      <c r="C11" s="46" t="s">
        <v>12</v>
      </c>
      <c r="D11" s="62">
        <v>2026</v>
      </c>
    </row>
    <row r="12" spans="1:4" ht="15" customHeight="1" x14ac:dyDescent="0.35">
      <c r="A12" s="46"/>
      <c r="B12" s="57"/>
      <c r="C12" s="46"/>
      <c r="D12" s="62"/>
    </row>
    <row r="13" spans="1:4" ht="15" customHeight="1" x14ac:dyDescent="0.35">
      <c r="A13" s="85" t="s">
        <v>253</v>
      </c>
      <c r="B13" s="86">
        <v>189000</v>
      </c>
      <c r="C13" s="88"/>
      <c r="D13" s="88"/>
    </row>
    <row r="14" spans="1:4" ht="15" customHeight="1" x14ac:dyDescent="0.35">
      <c r="A14" s="46"/>
      <c r="B14" s="46"/>
      <c r="C14" s="46"/>
      <c r="D14" s="46"/>
    </row>
    <row r="15" spans="1:4" ht="15" customHeight="1" x14ac:dyDescent="0.35">
      <c r="A15" s="206" t="s">
        <v>254</v>
      </c>
      <c r="B15" s="206"/>
      <c r="C15" s="206"/>
      <c r="D15" s="206"/>
    </row>
    <row r="16" spans="1:4" ht="15" customHeight="1" x14ac:dyDescent="0.35">
      <c r="A16" s="56" t="s">
        <v>82</v>
      </c>
      <c r="B16" s="56" t="s">
        <v>23</v>
      </c>
      <c r="C16" s="56" t="s">
        <v>255</v>
      </c>
      <c r="D16" s="56" t="s">
        <v>172</v>
      </c>
    </row>
    <row r="17" spans="1:4" ht="15" customHeight="1" x14ac:dyDescent="0.35">
      <c r="A17" s="46" t="s">
        <v>256</v>
      </c>
      <c r="B17" s="57">
        <v>50000</v>
      </c>
      <c r="C17" s="46" t="s">
        <v>257</v>
      </c>
      <c r="D17" s="62" t="s">
        <v>188</v>
      </c>
    </row>
    <row r="18" spans="1:4" ht="15" customHeight="1" x14ac:dyDescent="0.35">
      <c r="A18" s="200" t="s">
        <v>258</v>
      </c>
      <c r="B18" s="200"/>
      <c r="C18" s="200"/>
      <c r="D18" s="200"/>
    </row>
    <row r="19" spans="1:4" ht="15" customHeight="1" x14ac:dyDescent="0.35">
      <c r="A19" s="46"/>
      <c r="B19" s="46"/>
      <c r="C19" s="46"/>
      <c r="D19" s="46"/>
    </row>
    <row r="20" spans="1:4" ht="15" customHeight="1" x14ac:dyDescent="0.35">
      <c r="A20" s="198" t="s">
        <v>259</v>
      </c>
      <c r="B20" s="198"/>
      <c r="C20" s="198"/>
      <c r="D20" s="198"/>
    </row>
    <row r="21" spans="1:4" ht="15" customHeight="1" x14ac:dyDescent="0.35">
      <c r="A21" s="46" t="s">
        <v>260</v>
      </c>
      <c r="B21" s="57">
        <f>B7</f>
        <v>189000</v>
      </c>
      <c r="C21" s="46"/>
      <c r="D21" s="46"/>
    </row>
    <row r="22" spans="1:4" ht="15" customHeight="1" x14ac:dyDescent="0.35">
      <c r="A22" s="46" t="s">
        <v>261</v>
      </c>
      <c r="B22" s="57">
        <f>B13</f>
        <v>189000</v>
      </c>
      <c r="C22" s="46"/>
      <c r="D22" s="46"/>
    </row>
    <row r="23" spans="1:4" ht="15" customHeight="1" x14ac:dyDescent="0.35">
      <c r="A23" s="46" t="s">
        <v>262</v>
      </c>
      <c r="B23" s="57">
        <f>B17</f>
        <v>50000</v>
      </c>
      <c r="C23" s="46"/>
      <c r="D23" s="46"/>
    </row>
    <row r="24" spans="1:4" ht="17.25" customHeight="1" x14ac:dyDescent="0.35">
      <c r="A24" s="89" t="s">
        <v>263</v>
      </c>
      <c r="B24" s="90">
        <v>428000</v>
      </c>
      <c r="C24" s="46"/>
      <c r="D24" s="46"/>
    </row>
    <row r="25" spans="1:4" ht="15" customHeight="1" x14ac:dyDescent="0.35">
      <c r="A25" s="46"/>
      <c r="B25" s="46"/>
      <c r="C25" s="46"/>
      <c r="D25" s="46"/>
    </row>
    <row r="26" spans="1:4" ht="15" customHeight="1" x14ac:dyDescent="0.35">
      <c r="A26" s="205" t="s">
        <v>264</v>
      </c>
      <c r="B26" s="205"/>
      <c r="C26" s="205"/>
      <c r="D26" s="205"/>
    </row>
    <row r="27" spans="1:4" ht="15" customHeight="1" x14ac:dyDescent="0.35">
      <c r="A27" s="56" t="s">
        <v>172</v>
      </c>
      <c r="B27" s="56" t="s">
        <v>265</v>
      </c>
      <c r="C27" s="56" t="s">
        <v>266</v>
      </c>
      <c r="D27" s="46"/>
    </row>
    <row r="28" spans="1:4" ht="15" customHeight="1" x14ac:dyDescent="0.35">
      <c r="A28" s="62" t="s">
        <v>252</v>
      </c>
      <c r="B28" s="58">
        <v>378000</v>
      </c>
      <c r="C28" s="46" t="s">
        <v>267</v>
      </c>
      <c r="D28" s="46"/>
    </row>
    <row r="29" spans="1:4" ht="15" customHeight="1" x14ac:dyDescent="0.35">
      <c r="A29" s="62" t="s">
        <v>187</v>
      </c>
      <c r="B29" s="91">
        <v>0</v>
      </c>
      <c r="C29" s="46" t="s">
        <v>204</v>
      </c>
      <c r="D29" s="46"/>
    </row>
    <row r="30" spans="1:4" ht="15" customHeight="1" x14ac:dyDescent="0.35">
      <c r="A30" s="62" t="s">
        <v>188</v>
      </c>
      <c r="B30" s="58">
        <v>50000</v>
      </c>
      <c r="C30" s="46" t="s">
        <v>256</v>
      </c>
      <c r="D30" s="46"/>
    </row>
    <row r="31" spans="1:4" ht="15" customHeight="1" x14ac:dyDescent="0.35">
      <c r="A31" s="62" t="s">
        <v>268</v>
      </c>
      <c r="B31" s="91">
        <v>0</v>
      </c>
      <c r="C31" s="46" t="s">
        <v>204</v>
      </c>
      <c r="D31" s="46"/>
    </row>
    <row r="32" spans="1:4" ht="15" customHeight="1" x14ac:dyDescent="0.35">
      <c r="A32" s="46"/>
      <c r="B32" s="46"/>
      <c r="C32" s="46"/>
      <c r="D32" s="46"/>
    </row>
    <row r="33" spans="1:4" ht="15" customHeight="1" x14ac:dyDescent="0.35">
      <c r="A33" s="205" t="s">
        <v>269</v>
      </c>
      <c r="B33" s="205"/>
      <c r="C33" s="205"/>
      <c r="D33" s="205"/>
    </row>
    <row r="34" spans="1:4" ht="17.25" customHeight="1" x14ac:dyDescent="0.35">
      <c r="A34" s="46" t="s">
        <v>270</v>
      </c>
      <c r="B34" s="92">
        <f>C7</f>
        <v>100000</v>
      </c>
      <c r="C34" s="46"/>
      <c r="D34" s="46"/>
    </row>
    <row r="35" spans="1:4" ht="15" customHeight="1" x14ac:dyDescent="0.35">
      <c r="A35" s="200" t="s">
        <v>271</v>
      </c>
      <c r="B35" s="200"/>
      <c r="C35" s="200"/>
      <c r="D35" s="200"/>
    </row>
    <row r="36" spans="1:4" ht="15" customHeight="1" x14ac:dyDescent="0.35">
      <c r="A36" t="s">
        <v>272</v>
      </c>
    </row>
    <row r="37" spans="1:4" ht="15" customHeight="1" x14ac:dyDescent="0.35">
      <c r="A37" t="s">
        <v>273</v>
      </c>
    </row>
    <row r="40" spans="1:4" ht="15" customHeight="1" x14ac:dyDescent="0.35">
      <c r="A40" s="30" t="s">
        <v>274</v>
      </c>
    </row>
    <row r="41" spans="1:4" ht="15" customHeight="1" x14ac:dyDescent="0.35">
      <c r="A41" t="s">
        <v>84</v>
      </c>
      <c r="B41" t="s">
        <v>6</v>
      </c>
      <c r="C41" s="41">
        <v>100000</v>
      </c>
      <c r="D41" s="30"/>
    </row>
    <row r="42" spans="1:4" ht="15" customHeight="1" x14ac:dyDescent="0.35">
      <c r="A42" t="s">
        <v>86</v>
      </c>
      <c r="B42" t="s">
        <v>53</v>
      </c>
      <c r="C42" s="41">
        <v>89000</v>
      </c>
    </row>
    <row r="43" spans="1:4" ht="15" customHeight="1" x14ac:dyDescent="0.35">
      <c r="A43" t="s">
        <v>88</v>
      </c>
      <c r="B43" t="s">
        <v>89</v>
      </c>
      <c r="C43" s="41">
        <v>189000</v>
      </c>
    </row>
    <row r="44" spans="1:4" ht="15" customHeight="1" x14ac:dyDescent="0.35">
      <c r="C44" s="41"/>
    </row>
    <row r="45" spans="1:4" ht="15" customHeight="1" x14ac:dyDescent="0.35">
      <c r="C45" s="41"/>
    </row>
    <row r="46" spans="1:4" ht="15" customHeight="1" x14ac:dyDescent="0.35">
      <c r="A46" t="s">
        <v>91</v>
      </c>
      <c r="B46" t="s">
        <v>73</v>
      </c>
      <c r="C46" s="41">
        <v>50000</v>
      </c>
    </row>
    <row r="48" spans="1:4" ht="15" customHeight="1" x14ac:dyDescent="0.35">
      <c r="A48" s="32"/>
    </row>
    <row r="49" spans="1:1" ht="15" customHeight="1" x14ac:dyDescent="0.35">
      <c r="A49" s="32" t="s">
        <v>275</v>
      </c>
    </row>
    <row r="50" spans="1:1" ht="14.25" customHeight="1" x14ac:dyDescent="0.35">
      <c r="A50" s="33" t="s">
        <v>276</v>
      </c>
    </row>
    <row r="52" spans="1:1" ht="14.25" customHeight="1" x14ac:dyDescent="0.35">
      <c r="A52" s="93" t="s">
        <v>277</v>
      </c>
    </row>
    <row r="53" spans="1:1" ht="14.25" customHeight="1" x14ac:dyDescent="0.35"/>
    <row r="54" spans="1:1" ht="14.25" customHeight="1" x14ac:dyDescent="0.35">
      <c r="A54" s="30" t="s">
        <v>278</v>
      </c>
    </row>
    <row r="55" spans="1:1" ht="15" customHeight="1" x14ac:dyDescent="0.35">
      <c r="A55" t="s">
        <v>279</v>
      </c>
    </row>
    <row r="56" spans="1:1" ht="15" customHeight="1" x14ac:dyDescent="0.35">
      <c r="A56" t="s">
        <v>280</v>
      </c>
    </row>
    <row r="57" spans="1:1" ht="15" customHeight="1" x14ac:dyDescent="0.35">
      <c r="A57" t="s">
        <v>281</v>
      </c>
    </row>
    <row r="58" spans="1:1" ht="15" customHeight="1" x14ac:dyDescent="0.35"/>
    <row r="59" spans="1:1" ht="15" customHeight="1" x14ac:dyDescent="0.35">
      <c r="A59" t="s">
        <v>275</v>
      </c>
    </row>
    <row r="60" spans="1:1" ht="15" customHeight="1" x14ac:dyDescent="0.35">
      <c r="A60" s="30" t="s">
        <v>282</v>
      </c>
    </row>
    <row r="61" spans="1:1" ht="15" customHeight="1" x14ac:dyDescent="0.35">
      <c r="A61" s="30"/>
    </row>
    <row r="62" spans="1:1" ht="14.25" customHeight="1" x14ac:dyDescent="0.35">
      <c r="A62" s="30" t="s">
        <v>283</v>
      </c>
    </row>
    <row r="63" spans="1:1" ht="14.25" customHeight="1" x14ac:dyDescent="0.35">
      <c r="A63" t="s">
        <v>284</v>
      </c>
    </row>
    <row r="64" spans="1:1" ht="14.25" customHeight="1" x14ac:dyDescent="0.35">
      <c r="A64" t="s">
        <v>285</v>
      </c>
    </row>
    <row r="65" spans="1:3" ht="14.25" customHeight="1" x14ac:dyDescent="0.35">
      <c r="A65" s="30" t="s">
        <v>286</v>
      </c>
      <c r="B65" s="30"/>
    </row>
    <row r="66" spans="1:3" ht="14.25" customHeight="1" x14ac:dyDescent="0.35"/>
    <row r="67" spans="1:3" ht="14.25" customHeight="1" x14ac:dyDescent="0.35">
      <c r="A67" t="s">
        <v>275</v>
      </c>
    </row>
    <row r="68" spans="1:3" ht="14.25" customHeight="1" x14ac:dyDescent="0.35">
      <c r="A68" s="30" t="s">
        <v>287</v>
      </c>
    </row>
    <row r="69" spans="1:3" ht="14.25" customHeight="1" x14ac:dyDescent="0.35"/>
    <row r="70" spans="1:3" ht="14.25" customHeight="1" x14ac:dyDescent="0.35">
      <c r="A70" t="s">
        <v>288</v>
      </c>
    </row>
    <row r="71" spans="1:3" ht="14.25" customHeight="1" x14ac:dyDescent="0.35">
      <c r="A71" t="s">
        <v>289</v>
      </c>
    </row>
    <row r="72" spans="1:3" ht="14.25" customHeight="1" x14ac:dyDescent="0.35">
      <c r="A72" t="s">
        <v>290</v>
      </c>
    </row>
    <row r="73" spans="1:3" ht="14.25" customHeight="1" x14ac:dyDescent="0.35">
      <c r="A73" s="30" t="s">
        <v>291</v>
      </c>
    </row>
    <row r="74" spans="1:3" ht="14.25" customHeight="1" x14ac:dyDescent="0.35">
      <c r="A74" t="s">
        <v>292</v>
      </c>
    </row>
    <row r="75" spans="1:3" ht="14.25" customHeight="1" x14ac:dyDescent="0.35"/>
    <row r="76" spans="1:3" ht="14.25" customHeight="1" x14ac:dyDescent="0.35">
      <c r="A76" s="30" t="s">
        <v>275</v>
      </c>
      <c r="B76" s="30"/>
    </row>
    <row r="77" spans="1:3" ht="14.25" customHeight="1" x14ac:dyDescent="0.35">
      <c r="A77" s="30" t="s">
        <v>293</v>
      </c>
    </row>
    <row r="79" spans="1:3" ht="14.25" customHeight="1" x14ac:dyDescent="0.35">
      <c r="A79" t="s">
        <v>294</v>
      </c>
    </row>
    <row r="80" spans="1:3" ht="14.25" customHeight="1" x14ac:dyDescent="0.35">
      <c r="A80" t="s">
        <v>295</v>
      </c>
      <c r="B80">
        <v>189000</v>
      </c>
      <c r="C80" t="s">
        <v>296</v>
      </c>
    </row>
    <row r="81" spans="1:3" ht="14.25" customHeight="1" x14ac:dyDescent="0.35">
      <c r="A81" t="s">
        <v>297</v>
      </c>
      <c r="B81">
        <v>189000</v>
      </c>
      <c r="C81" t="s">
        <v>298</v>
      </c>
    </row>
    <row r="82" spans="1:3" ht="14.25" customHeight="1" x14ac:dyDescent="0.35">
      <c r="A82" t="s">
        <v>299</v>
      </c>
      <c r="B82">
        <v>50000</v>
      </c>
    </row>
    <row r="83" spans="1:3" ht="14.25" customHeight="1" x14ac:dyDescent="0.35">
      <c r="A83" s="30" t="s">
        <v>300</v>
      </c>
      <c r="B83" s="30">
        <v>428000</v>
      </c>
    </row>
    <row r="85" spans="1:3" ht="14.25" customHeight="1" x14ac:dyDescent="0.35">
      <c r="A85" t="s">
        <v>301</v>
      </c>
    </row>
    <row r="86" spans="1:3" ht="14.25" customHeight="1" x14ac:dyDescent="0.35">
      <c r="A86" t="s">
        <v>302</v>
      </c>
      <c r="B86">
        <v>30000</v>
      </c>
    </row>
    <row r="88" spans="1:3" ht="14.25" customHeight="1" x14ac:dyDescent="0.35">
      <c r="A88" s="30" t="s">
        <v>303</v>
      </c>
      <c r="B88" s="30">
        <v>458000</v>
      </c>
    </row>
  </sheetData>
  <mergeCells count="9">
    <mergeCell ref="A20:D20"/>
    <mergeCell ref="A26:D26"/>
    <mergeCell ref="A33:D33"/>
    <mergeCell ref="A35:D35"/>
    <mergeCell ref="A1:D1"/>
    <mergeCell ref="A3:D3"/>
    <mergeCell ref="A9:D9"/>
    <mergeCell ref="A15:D15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zoomScaleNormal="100" workbookViewId="0">
      <selection activeCell="F47" sqref="F47"/>
    </sheetView>
  </sheetViews>
  <sheetFormatPr baseColWidth="10" defaultColWidth="8.6328125" defaultRowHeight="14.5" x14ac:dyDescent="0.35"/>
  <cols>
    <col min="1" max="1" width="35" customWidth="1"/>
    <col min="2" max="8" width="12" customWidth="1"/>
  </cols>
  <sheetData>
    <row r="1" spans="1:8" ht="19.5" customHeight="1" x14ac:dyDescent="0.4">
      <c r="A1" s="194" t="s">
        <v>230</v>
      </c>
      <c r="B1" s="194"/>
      <c r="C1" s="194"/>
      <c r="D1" s="194"/>
      <c r="E1" s="194"/>
      <c r="F1" s="194"/>
      <c r="G1" s="194"/>
      <c r="H1" s="194"/>
    </row>
    <row r="3" spans="1:8" x14ac:dyDescent="0.35">
      <c r="A3" s="209" t="str">
        <f>'Marges Produits'!A38</f>
        <v xml:space="preserve">3. Hypothèse 1 de la répartition des ventes </v>
      </c>
      <c r="B3" s="209"/>
      <c r="C3" s="209"/>
      <c r="D3" s="209"/>
      <c r="E3" s="209"/>
      <c r="F3" s="209"/>
    </row>
    <row r="4" spans="1:8" x14ac:dyDescent="0.35">
      <c r="A4" t="str" cm="1">
        <f t="array" ref="A4:F4">'Marges Produits'!A39:F39</f>
        <v>Canal de vente</v>
      </c>
      <c r="B4" t="str">
        <v>Produit</v>
      </c>
      <c r="C4" t="str">
        <v>Prix HT</v>
      </c>
      <c r="D4" t="str">
        <v>Marge €</v>
      </c>
      <c r="E4" t="str">
        <v>Cout de reviens</v>
      </c>
      <c r="F4" t="str">
        <v xml:space="preserve">Proportions des ventes </v>
      </c>
    </row>
    <row r="5" spans="1:8" ht="15" customHeight="1" x14ac:dyDescent="0.35">
      <c r="A5" t="str" cm="1">
        <f t="array" ref="A5:F5">'Marges Produits'!A40:F40</f>
        <v>School Pack</v>
      </c>
      <c r="B5" t="str">
        <v>A+ Classic</v>
      </c>
      <c r="C5" s="128">
        <v>1650</v>
      </c>
      <c r="D5" s="128">
        <v>714.67</v>
      </c>
      <c r="E5" s="127">
        <v>905.63</v>
      </c>
      <c r="F5" s="127">
        <v>0.3</v>
      </c>
    </row>
    <row r="6" spans="1:8" ht="15" customHeight="1" x14ac:dyDescent="0.35">
      <c r="A6" t="str" cm="1">
        <f t="array" ref="A6:F6">'Marges Produits'!A41:F41</f>
        <v>B2C2B</v>
      </c>
      <c r="B6" t="str">
        <v>A+ Classic</v>
      </c>
      <c r="C6" s="128">
        <v>2666.67</v>
      </c>
      <c r="D6" s="128">
        <v>1179.7060000000001</v>
      </c>
      <c r="E6" s="127">
        <v>905.63</v>
      </c>
      <c r="F6" s="127">
        <v>0.2</v>
      </c>
    </row>
    <row r="7" spans="1:8" ht="15" customHeight="1" x14ac:dyDescent="0.35">
      <c r="A7" t="str" cm="1">
        <f t="array" ref="A7:F7">'Marges Produits'!A42:F42</f>
        <v>B2C2B</v>
      </c>
      <c r="B7" t="str">
        <v>B- Ultra</v>
      </c>
      <c r="C7" s="128">
        <v>3500</v>
      </c>
      <c r="D7" s="128">
        <v>1563.33</v>
      </c>
      <c r="E7" s="127">
        <v>1173.67</v>
      </c>
      <c r="F7" s="127">
        <v>0.25</v>
      </c>
    </row>
    <row r="8" spans="1:8" ht="15" customHeight="1" x14ac:dyDescent="0.35">
      <c r="A8" t="str" cm="1">
        <f t="array" ref="A8:F8">'Marges Produits'!A43:F43</f>
        <v>B2C2B</v>
      </c>
      <c r="B8" t="str">
        <v>K2- Ultra</v>
      </c>
      <c r="C8" s="128">
        <v>2333.33</v>
      </c>
      <c r="D8" s="128">
        <v>1081.3040000000001</v>
      </c>
      <c r="E8" s="127">
        <v>743.36</v>
      </c>
      <c r="F8" s="127">
        <v>0.25</v>
      </c>
    </row>
    <row r="9" spans="1:8" ht="15" customHeight="1" x14ac:dyDescent="0.35"/>
    <row r="10" spans="1:8" ht="15" customHeight="1" x14ac:dyDescent="0.35">
      <c r="A10" t="str" cm="1">
        <f t="array" ref="A10:E10">'Marges Produits'!A45:E45</f>
        <v>Hypothese 1: prix moyenne / produit</v>
      </c>
      <c r="B10" s="132">
        <v>0</v>
      </c>
      <c r="C10" s="128">
        <v>2486.6665000000003</v>
      </c>
      <c r="D10" s="128">
        <v>1111.5007000000001</v>
      </c>
      <c r="E10" s="132">
        <v>932.07249999999999</v>
      </c>
    </row>
    <row r="11" spans="1:8" ht="15" customHeight="1" x14ac:dyDescent="0.35"/>
    <row r="12" spans="1:8" ht="15" customHeight="1" x14ac:dyDescent="0.35">
      <c r="A12" s="46"/>
      <c r="B12" s="46"/>
      <c r="C12" s="46"/>
      <c r="D12" s="46"/>
      <c r="E12" s="46"/>
      <c r="F12" s="46"/>
      <c r="G12" s="46"/>
      <c r="H12" s="46"/>
    </row>
    <row r="13" spans="1:8" ht="15" customHeight="1" x14ac:dyDescent="0.35">
      <c r="A13" s="205" t="s">
        <v>231</v>
      </c>
      <c r="B13" s="205"/>
      <c r="C13" s="205"/>
      <c r="D13" s="205"/>
      <c r="E13" s="205"/>
      <c r="F13" s="205"/>
      <c r="G13" s="205"/>
      <c r="H13" s="205"/>
    </row>
    <row r="14" spans="1:8" ht="15" customHeight="1" x14ac:dyDescent="0.35">
      <c r="A14" s="73" t="s">
        <v>172</v>
      </c>
      <c r="B14" s="56">
        <v>2025</v>
      </c>
      <c r="C14" s="56">
        <v>2026</v>
      </c>
      <c r="D14" s="56">
        <v>2027</v>
      </c>
      <c r="E14" s="56">
        <v>2028</v>
      </c>
      <c r="F14" s="56">
        <v>2029</v>
      </c>
      <c r="G14" s="56">
        <v>2030</v>
      </c>
      <c r="H14" s="56">
        <v>2031</v>
      </c>
    </row>
    <row r="15" spans="1:8" ht="15" customHeight="1" x14ac:dyDescent="0.35">
      <c r="A15" s="74"/>
      <c r="B15" s="75"/>
      <c r="C15" s="75"/>
      <c r="D15" s="75"/>
      <c r="E15" s="75"/>
      <c r="F15" s="75"/>
      <c r="G15" s="75"/>
      <c r="H15" s="75"/>
    </row>
    <row r="16" spans="1:8" ht="15" customHeight="1" x14ac:dyDescent="0.35">
      <c r="A16" s="76" t="s">
        <v>232</v>
      </c>
      <c r="B16" s="77">
        <v>0</v>
      </c>
      <c r="C16" s="77">
        <v>75</v>
      </c>
      <c r="D16" s="77">
        <v>250</v>
      </c>
      <c r="E16" s="77">
        <v>550</v>
      </c>
      <c r="F16" s="77">
        <v>800</v>
      </c>
      <c r="G16" s="77">
        <v>1000</v>
      </c>
      <c r="H16" s="77">
        <v>1000</v>
      </c>
    </row>
    <row r="17" spans="1:8" ht="15" customHeight="1" x14ac:dyDescent="0.35">
      <c r="A17" s="78" t="s">
        <v>233</v>
      </c>
      <c r="B17" s="186">
        <f>'Analyse Point Mort'!B19</f>
        <v>0</v>
      </c>
      <c r="C17" s="186">
        <f>'Analyse Point Mort'!C19</f>
        <v>0</v>
      </c>
      <c r="D17" s="186">
        <f>'Analyse Point Mort'!D19</f>
        <v>120</v>
      </c>
      <c r="E17" s="186">
        <f>'Analyse Point Mort'!E19</f>
        <v>300</v>
      </c>
      <c r="F17" s="186">
        <f>'Analyse Point Mort'!F19</f>
        <v>180</v>
      </c>
      <c r="G17" s="186">
        <f>'Analyse Point Mort'!G19</f>
        <v>190</v>
      </c>
      <c r="H17" s="186">
        <f>'Analyse Point Mort'!H19</f>
        <v>150</v>
      </c>
    </row>
    <row r="18" spans="1:8" ht="15" customHeight="1" x14ac:dyDescent="0.35">
      <c r="A18" s="46"/>
      <c r="B18" s="46"/>
      <c r="C18" s="46"/>
      <c r="D18" s="46"/>
      <c r="E18" s="46"/>
      <c r="F18" s="46"/>
      <c r="G18" s="46"/>
      <c r="H18" s="46"/>
    </row>
    <row r="19" spans="1:8" ht="15" customHeight="1" x14ac:dyDescent="0.35">
      <c r="A19" s="207" t="s">
        <v>234</v>
      </c>
      <c r="B19" s="207"/>
      <c r="C19" s="207"/>
      <c r="D19" s="207"/>
      <c r="E19" s="207"/>
      <c r="F19" s="207"/>
      <c r="G19" s="207"/>
      <c r="H19" s="207"/>
    </row>
    <row r="20" spans="1:8" ht="15" customHeight="1" x14ac:dyDescent="0.35">
      <c r="A20" s="59" t="s">
        <v>235</v>
      </c>
      <c r="B20" s="79">
        <f t="shared" ref="B20:H20" si="0">B16</f>
        <v>0</v>
      </c>
      <c r="C20" s="79">
        <f t="shared" si="0"/>
        <v>75</v>
      </c>
      <c r="D20" s="79">
        <f t="shared" si="0"/>
        <v>250</v>
      </c>
      <c r="E20" s="79">
        <f t="shared" si="0"/>
        <v>550</v>
      </c>
      <c r="F20" s="79">
        <f t="shared" si="0"/>
        <v>800</v>
      </c>
      <c r="G20" s="79">
        <f t="shared" si="0"/>
        <v>1000</v>
      </c>
      <c r="H20" s="79">
        <f t="shared" si="0"/>
        <v>1000</v>
      </c>
    </row>
    <row r="21" spans="1:8" ht="15" customHeight="1" x14ac:dyDescent="0.35">
      <c r="A21" s="46" t="s">
        <v>458</v>
      </c>
      <c r="B21" s="136">
        <f>'Compte de Résultat'!B34</f>
        <v>-22657.97083333334</v>
      </c>
      <c r="C21" s="136">
        <f>'Compte de Résultat'!C34</f>
        <v>-122170.50539999998</v>
      </c>
      <c r="D21" s="136">
        <f>'Compte de Résultat'!D34</f>
        <v>70886.784</v>
      </c>
      <c r="E21" s="136">
        <f>'Compte de Résultat'!E34</f>
        <v>400488.99440000003</v>
      </c>
      <c r="F21" s="136">
        <f>'Compte de Résultat'!F34</f>
        <v>675607.83640000015</v>
      </c>
      <c r="G21" s="136">
        <f>'Compte de Résultat'!G34</f>
        <v>895848.80999999994</v>
      </c>
      <c r="H21" s="136">
        <f>'Compte de Résultat'!H34</f>
        <v>950429.17840000009</v>
      </c>
    </row>
    <row r="22" spans="1:8" ht="15" customHeight="1" x14ac:dyDescent="0.35">
      <c r="A22" s="59" t="s">
        <v>236</v>
      </c>
      <c r="B22" s="82">
        <f>Dashboard!C22</f>
        <v>0</v>
      </c>
      <c r="C22" s="82">
        <f>Dashboard!D22</f>
        <v>186499.98750000002</v>
      </c>
      <c r="D22" s="82">
        <f>Dashboard!E22</f>
        <v>621666.62500000012</v>
      </c>
      <c r="E22" s="82">
        <f>Dashboard!F22</f>
        <v>1367666.5750000004</v>
      </c>
      <c r="F22" s="82">
        <f>Dashboard!G22</f>
        <v>1989333.2000000004</v>
      </c>
      <c r="G22" s="82">
        <f>Dashboard!H22</f>
        <v>2486666.5</v>
      </c>
      <c r="H22" s="82">
        <f>Dashboard!I22</f>
        <v>2610999.8250000007</v>
      </c>
    </row>
    <row r="23" spans="1:8" ht="15" customHeight="1" x14ac:dyDescent="0.35">
      <c r="A23" s="46"/>
      <c r="B23" s="46"/>
      <c r="C23" s="46"/>
      <c r="D23" s="46"/>
      <c r="E23" s="46"/>
      <c r="F23" s="46"/>
      <c r="G23" s="46"/>
      <c r="H23" s="46"/>
    </row>
    <row r="24" spans="1:8" ht="15" hidden="1" customHeight="1" x14ac:dyDescent="0.35">
      <c r="A24" s="208"/>
      <c r="B24" s="208"/>
      <c r="C24" s="208"/>
      <c r="D24" s="208"/>
      <c r="E24" s="208"/>
      <c r="F24" s="208"/>
      <c r="G24" s="208"/>
      <c r="H24" s="208"/>
    </row>
    <row r="25" spans="1:8" ht="15" hidden="1" customHeight="1" x14ac:dyDescent="0.35">
      <c r="A25" s="59"/>
      <c r="B25" s="79"/>
      <c r="C25" s="79"/>
      <c r="D25" s="79"/>
      <c r="E25" s="79"/>
      <c r="F25" s="79"/>
      <c r="G25" s="79"/>
      <c r="H25" s="79"/>
    </row>
    <row r="26" spans="1:8" ht="15" hidden="1" customHeight="1" x14ac:dyDescent="0.35">
      <c r="B26" s="136"/>
      <c r="C26" s="136"/>
      <c r="D26" s="136"/>
      <c r="E26" s="136"/>
      <c r="F26" s="136"/>
      <c r="G26" s="136"/>
      <c r="H26" s="136"/>
    </row>
    <row r="27" spans="1:8" ht="15" hidden="1" customHeight="1" x14ac:dyDescent="0.35">
      <c r="A27" s="59"/>
      <c r="B27" s="83"/>
      <c r="C27" s="83"/>
      <c r="D27" s="83"/>
      <c r="E27" s="83"/>
      <c r="F27" s="83"/>
      <c r="G27" s="83"/>
      <c r="H27" s="83"/>
    </row>
    <row r="28" spans="1:8" ht="15" hidden="1" customHeight="1" x14ac:dyDescent="0.35">
      <c r="A28" s="46"/>
      <c r="B28" s="46"/>
      <c r="C28" s="46"/>
      <c r="D28" s="46"/>
      <c r="E28" s="46"/>
      <c r="F28" s="46"/>
      <c r="G28" s="46"/>
      <c r="H28" s="46"/>
    </row>
    <row r="29" spans="1:8" ht="15" hidden="1" customHeight="1" x14ac:dyDescent="0.35">
      <c r="A29" s="205" t="s">
        <v>237</v>
      </c>
      <c r="B29" s="205"/>
      <c r="C29" s="205"/>
      <c r="D29" s="205"/>
      <c r="E29" s="205"/>
      <c r="F29" s="205"/>
      <c r="G29" s="205"/>
      <c r="H29" s="205"/>
    </row>
    <row r="30" spans="1:8" ht="15" hidden="1" customHeight="1" x14ac:dyDescent="0.35">
      <c r="A30" s="46"/>
      <c r="B30" s="83"/>
      <c r="C30" s="83"/>
      <c r="D30" s="83"/>
      <c r="E30" s="83"/>
      <c r="F30" s="83"/>
      <c r="G30" s="83"/>
      <c r="H30" s="83"/>
    </row>
    <row r="31" spans="1:8" ht="15" hidden="1" customHeight="1" x14ac:dyDescent="0.35">
      <c r="A31" s="46" t="s">
        <v>238</v>
      </c>
      <c r="B31" s="82">
        <f t="shared" ref="B31:H31" si="1">B22</f>
        <v>0</v>
      </c>
      <c r="C31" s="82">
        <f t="shared" si="1"/>
        <v>186499.98750000002</v>
      </c>
      <c r="D31" s="82">
        <f t="shared" si="1"/>
        <v>621666.62500000012</v>
      </c>
      <c r="E31" s="82">
        <f t="shared" si="1"/>
        <v>1367666.5750000004</v>
      </c>
      <c r="F31" s="82">
        <f t="shared" si="1"/>
        <v>1989333.2000000004</v>
      </c>
      <c r="G31" s="82">
        <f t="shared" si="1"/>
        <v>2486666.5</v>
      </c>
      <c r="H31" s="82">
        <f t="shared" si="1"/>
        <v>2610999.8250000007</v>
      </c>
    </row>
    <row r="32" spans="1:8" ht="15" hidden="1" customHeight="1" x14ac:dyDescent="0.35">
      <c r="A32" s="46"/>
      <c r="B32" s="84"/>
      <c r="C32" s="84"/>
      <c r="D32" s="84"/>
      <c r="E32" s="84"/>
      <c r="F32" s="84"/>
      <c r="G32" s="84"/>
      <c r="H32" s="84"/>
    </row>
    <row r="33" spans="1:1" ht="15" hidden="1" customHeight="1" x14ac:dyDescent="0.35"/>
    <row r="34" spans="1:1" ht="15" customHeight="1" x14ac:dyDescent="0.35">
      <c r="A34" s="30" t="s">
        <v>239</v>
      </c>
    </row>
    <row r="35" spans="1:1" ht="15" customHeight="1" x14ac:dyDescent="0.35">
      <c r="A35" t="s">
        <v>240</v>
      </c>
    </row>
    <row r="36" spans="1:1" ht="15" customHeight="1" x14ac:dyDescent="0.35">
      <c r="A36" t="s">
        <v>241</v>
      </c>
    </row>
    <row r="37" spans="1:1" ht="15" customHeight="1" x14ac:dyDescent="0.35">
      <c r="A37" t="s">
        <v>242</v>
      </c>
    </row>
    <row r="38" spans="1:1" ht="15" customHeight="1" x14ac:dyDescent="0.35"/>
    <row r="39" spans="1:1" ht="15" customHeight="1" x14ac:dyDescent="0.35"/>
    <row r="40" spans="1:1" ht="15" customHeight="1" x14ac:dyDescent="0.35"/>
    <row r="42" spans="1:1" ht="15" customHeight="1" x14ac:dyDescent="0.35"/>
    <row r="43" spans="1:1" ht="15" customHeight="1" x14ac:dyDescent="0.35"/>
    <row r="44" spans="1:1" ht="15" customHeight="1" x14ac:dyDescent="0.35"/>
    <row r="45" spans="1:1" ht="15" customHeight="1" x14ac:dyDescent="0.35"/>
  </sheetData>
  <mergeCells count="6">
    <mergeCell ref="A29:H29"/>
    <mergeCell ref="A1:H1"/>
    <mergeCell ref="A13:H13"/>
    <mergeCell ref="A19:H19"/>
    <mergeCell ref="A24:H24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08"/>
  <sheetViews>
    <sheetView topLeftCell="A3" zoomScale="90" zoomScaleNormal="90" workbookViewId="0">
      <pane xSplit="1" topLeftCell="B1" activePane="topRight" state="frozen"/>
      <selection pane="topRight" activeCell="S15" sqref="S15"/>
    </sheetView>
  </sheetViews>
  <sheetFormatPr baseColWidth="10" defaultColWidth="8.6328125" defaultRowHeight="14.5" x14ac:dyDescent="0.35"/>
  <cols>
    <col min="1" max="1" width="42.36328125" customWidth="1"/>
    <col min="2" max="61" width="10.81640625" customWidth="1"/>
  </cols>
  <sheetData>
    <row r="1" spans="1:15" ht="17.25" customHeight="1" x14ac:dyDescent="0.35">
      <c r="A1" s="31" t="s">
        <v>36</v>
      </c>
    </row>
    <row r="2" spans="1:15" ht="15" customHeight="1" x14ac:dyDescent="0.35">
      <c r="A2" s="32" t="s">
        <v>37</v>
      </c>
    </row>
    <row r="4" spans="1:15" ht="15" customHeight="1" x14ac:dyDescent="0.35">
      <c r="A4" s="33" t="s">
        <v>38</v>
      </c>
    </row>
    <row r="5" spans="1:15" ht="15" customHeight="1" x14ac:dyDescent="0.35">
      <c r="B5" s="34" t="s">
        <v>39</v>
      </c>
      <c r="C5" s="34" t="s">
        <v>40</v>
      </c>
      <c r="D5" s="34" t="s">
        <v>41</v>
      </c>
      <c r="E5" s="34" t="s">
        <v>42</v>
      </c>
      <c r="F5" s="34" t="s">
        <v>43</v>
      </c>
      <c r="G5" s="34" t="s">
        <v>44</v>
      </c>
      <c r="H5" s="34" t="s">
        <v>45</v>
      </c>
      <c r="I5" s="34" t="s">
        <v>46</v>
      </c>
      <c r="J5" s="34" t="s">
        <v>47</v>
      </c>
      <c r="K5" s="34" t="s">
        <v>48</v>
      </c>
      <c r="L5" s="34" t="s">
        <v>49</v>
      </c>
      <c r="M5" s="34" t="s">
        <v>50</v>
      </c>
      <c r="N5" s="34" t="s">
        <v>51</v>
      </c>
      <c r="O5" s="34" t="s">
        <v>15</v>
      </c>
    </row>
    <row r="6" spans="1:15" ht="15" customHeight="1" x14ac:dyDescent="0.35">
      <c r="A6" s="35" t="s">
        <v>52</v>
      </c>
      <c r="O6" s="144"/>
    </row>
    <row r="7" spans="1:15" ht="15" customHeight="1" x14ac:dyDescent="0.35">
      <c r="A7" t="s">
        <v>6</v>
      </c>
      <c r="B7" s="36">
        <f>Dashboard!B9</f>
        <v>100000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144">
        <f t="shared" ref="O7:O26" si="0">SUM(B7:N7)</f>
        <v>100000</v>
      </c>
    </row>
    <row r="8" spans="1:15" ht="15" customHeight="1" x14ac:dyDescent="0.35">
      <c r="A8" t="s">
        <v>53</v>
      </c>
      <c r="B8" s="36">
        <v>0</v>
      </c>
      <c r="C8" s="36">
        <v>89000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144">
        <f t="shared" si="0"/>
        <v>89000</v>
      </c>
    </row>
    <row r="9" spans="1:15" ht="15" customHeight="1" x14ac:dyDescent="0.35">
      <c r="A9" t="s">
        <v>54</v>
      </c>
      <c r="B9" s="36">
        <v>0</v>
      </c>
      <c r="C9" s="36">
        <v>0</v>
      </c>
      <c r="D9" s="36">
        <v>0</v>
      </c>
      <c r="E9" s="36">
        <f>Dashboard!L9</f>
        <v>189000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144">
        <f t="shared" si="0"/>
        <v>189000</v>
      </c>
    </row>
    <row r="10" spans="1:15" ht="15" customHeight="1" x14ac:dyDescent="0.3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44"/>
    </row>
    <row r="11" spans="1:15" ht="15" customHeight="1" x14ac:dyDescent="0.3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44"/>
    </row>
    <row r="12" spans="1:15" ht="15" customHeight="1" x14ac:dyDescent="0.35">
      <c r="A12" t="s">
        <v>55</v>
      </c>
      <c r="B12" s="36">
        <v>0</v>
      </c>
      <c r="C12" s="36">
        <f>C33*'Marges Produits'!$C$45</f>
        <v>0</v>
      </c>
      <c r="D12" s="36">
        <f>D33*'Marges Produits'!$C$45</f>
        <v>0</v>
      </c>
      <c r="E12" s="36">
        <f>E33*'Marges Produits'!$C$45</f>
        <v>0</v>
      </c>
      <c r="F12" s="36">
        <f>F33*'Marges Produits'!$C$45</f>
        <v>12433.3325</v>
      </c>
      <c r="G12" s="36">
        <f>G33*'Marges Produits'!$C$45</f>
        <v>17406.665500000003</v>
      </c>
      <c r="H12" s="36">
        <f>H33*'Marges Produits'!$C$45</f>
        <v>22379.998500000002</v>
      </c>
      <c r="I12" s="36">
        <f>I33*'Marges Produits'!$C$45</f>
        <v>29839.998000000003</v>
      </c>
      <c r="J12" s="36">
        <f>J33*'Marges Produits'!$C$45</f>
        <v>29839.998000000003</v>
      </c>
      <c r="K12" s="36">
        <f>K33*'Marges Produits'!$C$45</f>
        <v>24866.665000000001</v>
      </c>
      <c r="L12" s="36">
        <f>L33*'Marges Produits'!$C$45</f>
        <v>24866.665000000001</v>
      </c>
      <c r="M12" s="36">
        <f>M33*'Marges Produits'!$C$45</f>
        <v>12433.3325</v>
      </c>
      <c r="N12" s="36">
        <f>N33*'Marges Produits'!$C$45</f>
        <v>12433.3325</v>
      </c>
      <c r="O12" s="144">
        <f t="shared" si="0"/>
        <v>186499.98750000002</v>
      </c>
    </row>
    <row r="13" spans="1:15" ht="15" customHeight="1" x14ac:dyDescent="0.35">
      <c r="A13" s="30" t="s">
        <v>56</v>
      </c>
      <c r="B13" s="36">
        <f t="shared" ref="B13:N13" si="1">SUM(B7:B12)</f>
        <v>100000</v>
      </c>
      <c r="C13" s="36">
        <f t="shared" si="1"/>
        <v>89000</v>
      </c>
      <c r="D13" s="36">
        <f t="shared" si="1"/>
        <v>0</v>
      </c>
      <c r="E13" s="36">
        <f t="shared" si="1"/>
        <v>189000</v>
      </c>
      <c r="F13" s="36">
        <f t="shared" si="1"/>
        <v>12433.3325</v>
      </c>
      <c r="G13" s="36">
        <f t="shared" si="1"/>
        <v>17406.665500000003</v>
      </c>
      <c r="H13" s="36">
        <f t="shared" si="1"/>
        <v>22379.998500000002</v>
      </c>
      <c r="I13" s="36">
        <f t="shared" si="1"/>
        <v>29839.998000000003</v>
      </c>
      <c r="J13" s="36">
        <f t="shared" si="1"/>
        <v>29839.998000000003</v>
      </c>
      <c r="K13" s="36">
        <f t="shared" si="1"/>
        <v>24866.665000000001</v>
      </c>
      <c r="L13" s="36">
        <f t="shared" si="1"/>
        <v>24866.665000000001</v>
      </c>
      <c r="M13" s="36">
        <f t="shared" si="1"/>
        <v>12433.3325</v>
      </c>
      <c r="N13" s="36">
        <f t="shared" si="1"/>
        <v>12433.3325</v>
      </c>
      <c r="O13" s="144">
        <f t="shared" si="0"/>
        <v>564499.98750000005</v>
      </c>
    </row>
    <row r="14" spans="1:15" x14ac:dyDescent="0.35">
      <c r="O14" s="144"/>
    </row>
    <row r="15" spans="1:15" ht="15" customHeight="1" x14ac:dyDescent="0.35">
      <c r="A15" s="35" t="s">
        <v>57</v>
      </c>
      <c r="O15" s="144"/>
    </row>
    <row r="16" spans="1:15" ht="15" customHeight="1" x14ac:dyDescent="0.35">
      <c r="A16" t="s">
        <v>58</v>
      </c>
      <c r="B16" s="36">
        <f>'Frais de lancement'!B9</f>
        <v>3803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144">
        <f t="shared" si="0"/>
        <v>3803</v>
      </c>
    </row>
    <row r="17" spans="1:15" ht="15" customHeight="1" x14ac:dyDescent="0.35">
      <c r="A17" t="s">
        <v>411</v>
      </c>
      <c r="B17" s="36">
        <v>10000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10000</v>
      </c>
      <c r="I17" s="36">
        <v>0</v>
      </c>
      <c r="J17" s="36">
        <v>0</v>
      </c>
      <c r="K17" s="36">
        <v>6000</v>
      </c>
      <c r="L17" s="36">
        <v>0</v>
      </c>
      <c r="M17" s="36">
        <v>0</v>
      </c>
      <c r="N17" s="36">
        <v>0</v>
      </c>
      <c r="O17" s="144">
        <f t="shared" si="0"/>
        <v>26000</v>
      </c>
    </row>
    <row r="18" spans="1:15" ht="15" customHeight="1" x14ac:dyDescent="0.35">
      <c r="A18" t="s">
        <v>18</v>
      </c>
      <c r="B18" s="36">
        <f>C18/2</f>
        <v>4228.166666666667</v>
      </c>
      <c r="C18" s="36">
        <f>'Charges Fixes Plume'!D13/12</f>
        <v>8456.3333333333339</v>
      </c>
      <c r="D18" s="36">
        <v>8316</v>
      </c>
      <c r="E18" s="36">
        <v>8316</v>
      </c>
      <c r="F18" s="36">
        <v>8316</v>
      </c>
      <c r="G18" s="36">
        <v>8316</v>
      </c>
      <c r="H18" s="36">
        <v>8316</v>
      </c>
      <c r="I18" s="36">
        <v>8316</v>
      </c>
      <c r="J18" s="36">
        <v>8316</v>
      </c>
      <c r="K18" s="36">
        <v>8316</v>
      </c>
      <c r="L18" s="36">
        <v>8316</v>
      </c>
      <c r="M18" s="36">
        <v>8316</v>
      </c>
      <c r="N18" s="36">
        <v>8316</v>
      </c>
      <c r="O18" s="144">
        <f t="shared" si="0"/>
        <v>104160.5</v>
      </c>
    </row>
    <row r="19" spans="1:15" ht="15" customHeight="1" x14ac:dyDescent="0.35">
      <c r="A19" t="s">
        <v>59</v>
      </c>
      <c r="B19" s="36">
        <f>C19/2</f>
        <v>1671.4166666666667</v>
      </c>
      <c r="C19" s="36">
        <f>'Charges Fixes Plume'!$C$28/12</f>
        <v>3342.8333333333335</v>
      </c>
      <c r="D19" s="36">
        <f>'Charges Fixes Plume'!$C$28/12</f>
        <v>3342.8333333333335</v>
      </c>
      <c r="E19" s="36">
        <f>'Charges Fixes Plume'!$C$28/12</f>
        <v>3342.8333333333335</v>
      </c>
      <c r="F19" s="36">
        <f>'Charges Fixes Plume'!$C$28/12</f>
        <v>3342.8333333333335</v>
      </c>
      <c r="G19" s="36">
        <f>'Charges Fixes Plume'!$C$28/12</f>
        <v>3342.8333333333335</v>
      </c>
      <c r="H19" s="36">
        <f>'Charges Fixes Plume'!$C$28/12</f>
        <v>3342.8333333333335</v>
      </c>
      <c r="I19" s="36">
        <f>'Charges Fixes Plume'!$C$28/12</f>
        <v>3342.8333333333335</v>
      </c>
      <c r="J19" s="36">
        <f>'Charges Fixes Plume'!$C$28/12</f>
        <v>3342.8333333333335</v>
      </c>
      <c r="K19" s="36">
        <f>'Charges Fixes Plume'!$C$28/12</f>
        <v>3342.8333333333335</v>
      </c>
      <c r="L19" s="36">
        <f>'Charges Fixes Plume'!$C$28/12</f>
        <v>3342.8333333333335</v>
      </c>
      <c r="M19" s="36">
        <f>'Charges Fixes Plume'!$C$28/12</f>
        <v>3342.8333333333335</v>
      </c>
      <c r="N19" s="36">
        <f>'Charges Fixes Plume'!$C$28/12</f>
        <v>3342.8333333333335</v>
      </c>
      <c r="O19" s="144">
        <f>SUM(B19:N19)</f>
        <v>41785.416666666672</v>
      </c>
    </row>
    <row r="20" spans="1:15" ht="15" customHeight="1" x14ac:dyDescent="0.35">
      <c r="A20" t="s">
        <v>60</v>
      </c>
      <c r="B20" s="36">
        <v>0</v>
      </c>
      <c r="C20" s="36">
        <v>0</v>
      </c>
      <c r="D20" s="36">
        <v>0</v>
      </c>
      <c r="E20" s="36">
        <f>'Charges Fixes Plume'!C35*4</f>
        <v>4473.9479999999994</v>
      </c>
      <c r="F20" s="36">
        <f>'Charges Fixes Plume'!C35*4</f>
        <v>4473.9479999999994</v>
      </c>
      <c r="G20" s="36">
        <v>0</v>
      </c>
      <c r="H20" s="36">
        <v>0</v>
      </c>
      <c r="I20" s="36">
        <v>0</v>
      </c>
      <c r="J20" s="36">
        <f>4*'Charges Fixes Plume'!$C$35</f>
        <v>4473.9479999999994</v>
      </c>
      <c r="K20" s="36">
        <v>0</v>
      </c>
      <c r="L20" s="36">
        <v>0</v>
      </c>
      <c r="M20" s="36">
        <v>0</v>
      </c>
      <c r="N20" s="36">
        <v>0</v>
      </c>
      <c r="O20" s="144">
        <f t="shared" si="0"/>
        <v>13421.843999999997</v>
      </c>
    </row>
    <row r="21" spans="1:15" ht="15" customHeight="1" x14ac:dyDescent="0.35">
      <c r="A21" t="s">
        <v>61</v>
      </c>
      <c r="B21" s="36">
        <v>0</v>
      </c>
      <c r="C21" s="36">
        <v>0</v>
      </c>
      <c r="D21" s="36">
        <v>0</v>
      </c>
      <c r="E21" s="36">
        <f>'Charges Fixes Plume'!C36</f>
        <v>5570</v>
      </c>
      <c r="F21" s="36">
        <f>'Charges Fixes Plume'!C36</f>
        <v>5570</v>
      </c>
      <c r="G21" s="36">
        <v>0</v>
      </c>
      <c r="H21" s="36">
        <v>0</v>
      </c>
      <c r="I21" s="36">
        <v>0</v>
      </c>
      <c r="J21" s="36">
        <v>1000</v>
      </c>
      <c r="K21" s="36">
        <v>0</v>
      </c>
      <c r="L21" s="36">
        <v>0</v>
      </c>
      <c r="M21" s="36">
        <v>0</v>
      </c>
      <c r="N21" s="36">
        <v>0</v>
      </c>
      <c r="O21" s="144">
        <f t="shared" si="0"/>
        <v>12140</v>
      </c>
    </row>
    <row r="22" spans="1:15" ht="15" customHeight="1" x14ac:dyDescent="0.35">
      <c r="A22" t="s">
        <v>62</v>
      </c>
      <c r="B22" s="36">
        <v>0</v>
      </c>
      <c r="C22" s="36">
        <f>C32*'Marges Produits'!$E$45</f>
        <v>0</v>
      </c>
      <c r="D22" s="36">
        <f>D32*'Marges Produits'!$E$45</f>
        <v>0</v>
      </c>
      <c r="E22" s="36">
        <f>E32*'Marges Produits'!$E$45</f>
        <v>9320.7250000000004</v>
      </c>
      <c r="F22" s="36">
        <f>F32*'Marges Produits'!$E$45</f>
        <v>18641.45</v>
      </c>
      <c r="G22" s="36">
        <f>G32*'Marges Produits'!$E$45</f>
        <v>18641.45</v>
      </c>
      <c r="H22" s="36">
        <f>H32*'Marges Produits'!$E$45</f>
        <v>8388.6525000000001</v>
      </c>
      <c r="I22" s="36">
        <f>I32*'Marges Produits'!$E$45</f>
        <v>11184.869999999999</v>
      </c>
      <c r="J22" s="36">
        <f>J32*'Marges Produits'!$E$45</f>
        <v>9320.7250000000004</v>
      </c>
      <c r="K22" s="36">
        <f>K32*'Marges Produits'!$E$45</f>
        <v>9320.7250000000004</v>
      </c>
      <c r="L22" s="36">
        <f>L32*'Marges Produits'!$E$45</f>
        <v>9320.7250000000004</v>
      </c>
      <c r="M22" s="36">
        <f>M32*'Marges Produits'!$E$45</f>
        <v>4660.3625000000002</v>
      </c>
      <c r="N22" s="36">
        <f>N32*'Marges Produits'!$E$45</f>
        <v>4660.3625000000002</v>
      </c>
      <c r="O22" s="144">
        <f t="shared" si="0"/>
        <v>103460.04750000002</v>
      </c>
    </row>
    <row r="23" spans="1:15" ht="15" customHeight="1" x14ac:dyDescent="0.35">
      <c r="A23" t="s">
        <v>63</v>
      </c>
      <c r="B23" s="36">
        <v>0</v>
      </c>
      <c r="C23" s="36">
        <v>0</v>
      </c>
      <c r="D23" s="36">
        <v>0</v>
      </c>
      <c r="E23" s="36">
        <v>0</v>
      </c>
      <c r="F23" s="36">
        <f>'Emprunt Bancaire'!$B$27</f>
        <v>4367</v>
      </c>
      <c r="G23" s="36">
        <f>'Emprunt Bancaire'!$B$27</f>
        <v>4367</v>
      </c>
      <c r="H23" s="36">
        <f>'Emprunt Bancaire'!$B$27</f>
        <v>4367</v>
      </c>
      <c r="I23" s="36">
        <f>'Emprunt Bancaire'!$B$27</f>
        <v>4367</v>
      </c>
      <c r="J23" s="36">
        <f>'Emprunt Bancaire'!$B$27</f>
        <v>4367</v>
      </c>
      <c r="K23" s="36">
        <f>'Emprunt Bancaire'!$B$27</f>
        <v>4367</v>
      </c>
      <c r="L23" s="36">
        <f>'Emprunt Bancaire'!$B$27</f>
        <v>4367</v>
      </c>
      <c r="M23" s="36">
        <f>'Emprunt Bancaire'!$B$27</f>
        <v>4367</v>
      </c>
      <c r="N23" s="36">
        <f>'Emprunt Bancaire'!$B$27</f>
        <v>4367</v>
      </c>
      <c r="O23" s="144">
        <f t="shared" si="0"/>
        <v>39303</v>
      </c>
    </row>
    <row r="24" spans="1:15" ht="15" customHeight="1" x14ac:dyDescent="0.35">
      <c r="A24" t="s">
        <v>64</v>
      </c>
      <c r="B24" s="36">
        <f t="shared" ref="B24:N24" si="2">B12*0.008</f>
        <v>0</v>
      </c>
      <c r="C24" s="36">
        <f t="shared" si="2"/>
        <v>0</v>
      </c>
      <c r="D24" s="36">
        <f t="shared" si="2"/>
        <v>0</v>
      </c>
      <c r="E24" s="36">
        <f t="shared" si="2"/>
        <v>0</v>
      </c>
      <c r="F24" s="36">
        <f t="shared" si="2"/>
        <v>99.466660000000005</v>
      </c>
      <c r="G24" s="36">
        <f t="shared" si="2"/>
        <v>139.25332400000002</v>
      </c>
      <c r="H24" s="36">
        <f t="shared" si="2"/>
        <v>179.03998800000002</v>
      </c>
      <c r="I24" s="36">
        <f t="shared" si="2"/>
        <v>238.71998400000004</v>
      </c>
      <c r="J24" s="36">
        <f t="shared" si="2"/>
        <v>238.71998400000004</v>
      </c>
      <c r="K24" s="36">
        <f t="shared" si="2"/>
        <v>198.93332000000001</v>
      </c>
      <c r="L24" s="36">
        <f t="shared" si="2"/>
        <v>198.93332000000001</v>
      </c>
      <c r="M24" s="36">
        <f t="shared" si="2"/>
        <v>99.466660000000005</v>
      </c>
      <c r="N24" s="36">
        <f t="shared" si="2"/>
        <v>99.466660000000005</v>
      </c>
      <c r="O24" s="144">
        <f t="shared" si="0"/>
        <v>1491.9999000000005</v>
      </c>
    </row>
    <row r="25" spans="1:15" x14ac:dyDescent="0.35">
      <c r="A25" t="s">
        <v>415</v>
      </c>
      <c r="B25" s="143" cm="1">
        <f t="array" ref="B25">SUM(B16:B24*0.15)</f>
        <v>2955.3874999999998</v>
      </c>
      <c r="C25" s="143" cm="1">
        <f t="array" ref="C25">SUM(C16:C24*0.15)</f>
        <v>1769.875</v>
      </c>
      <c r="D25" s="143" cm="1">
        <f t="array" ref="D25">SUM(D16:D24*0.15)</f>
        <v>1748.8249999999998</v>
      </c>
      <c r="E25" s="143" cm="1">
        <f t="array" ref="E25">SUM(E16:E24*0.15)</f>
        <v>4653.5259500000002</v>
      </c>
      <c r="F25" s="143" cm="1">
        <f t="array" ref="F25">SUM(F16:F24*0.15)</f>
        <v>6721.6046990000004</v>
      </c>
      <c r="G25" s="143" cm="1">
        <f t="array" ref="G25">SUM(G16:G24*0.15)</f>
        <v>5220.9804985999999</v>
      </c>
      <c r="H25" s="143" cm="1">
        <f t="array" ref="H25">SUM(H16:H24*0.15)</f>
        <v>5189.0288731999999</v>
      </c>
      <c r="I25" s="143" cm="1">
        <f t="array" ref="I25">SUM(I16:I24*0.15)</f>
        <v>4117.4134975999996</v>
      </c>
      <c r="J25" s="143" cm="1">
        <f t="array" ref="J25">SUM(J16:J24*0.15)</f>
        <v>4658.8839476000003</v>
      </c>
      <c r="K25" s="143" cm="1">
        <f t="array" ref="K25">SUM(K16:K24*0.15)</f>
        <v>4731.8237480000007</v>
      </c>
      <c r="L25" s="143" cm="1">
        <f t="array" ref="L25">SUM(L16:L24*0.15)</f>
        <v>3831.8237480000003</v>
      </c>
      <c r="M25" s="143" cm="1">
        <f t="array" ref="M25">SUM(M16:M24*0.15)</f>
        <v>3117.8493739999999</v>
      </c>
      <c r="N25" s="143" cm="1">
        <f t="array" ref="N25">SUM(N16:N24*0.15)</f>
        <v>3117.8493739999999</v>
      </c>
      <c r="O25" s="148">
        <f t="shared" si="0"/>
        <v>51834.871210000005</v>
      </c>
    </row>
    <row r="26" spans="1:15" ht="15" customHeight="1" x14ac:dyDescent="0.35">
      <c r="A26" s="30" t="s">
        <v>65</v>
      </c>
      <c r="B26" s="36">
        <f t="shared" ref="B26:N26" si="3">SUM(B16:B25)</f>
        <v>22657.970833333336</v>
      </c>
      <c r="C26" s="36">
        <f t="shared" si="3"/>
        <v>13569.041666666668</v>
      </c>
      <c r="D26" s="36">
        <f t="shared" si="3"/>
        <v>13407.658333333333</v>
      </c>
      <c r="E26" s="36">
        <f t="shared" si="3"/>
        <v>35677.032283333334</v>
      </c>
      <c r="F26" s="36">
        <f t="shared" si="3"/>
        <v>51532.302692333331</v>
      </c>
      <c r="G26" s="36">
        <f t="shared" si="3"/>
        <v>40027.517155933332</v>
      </c>
      <c r="H26" s="36">
        <f t="shared" si="3"/>
        <v>39782.554694533326</v>
      </c>
      <c r="I26" s="36">
        <f t="shared" si="3"/>
        <v>31566.836814933329</v>
      </c>
      <c r="J26" s="36">
        <f t="shared" si="3"/>
        <v>35718.110264933333</v>
      </c>
      <c r="K26" s="36">
        <f t="shared" si="3"/>
        <v>36277.315401333333</v>
      </c>
      <c r="L26" s="36">
        <f t="shared" si="3"/>
        <v>29377.315401333333</v>
      </c>
      <c r="M26" s="36">
        <f t="shared" si="3"/>
        <v>23903.511867333335</v>
      </c>
      <c r="N26" s="36">
        <f t="shared" si="3"/>
        <v>23903.511867333335</v>
      </c>
      <c r="O26" s="144">
        <f t="shared" si="0"/>
        <v>397400.6792766666</v>
      </c>
    </row>
    <row r="27" spans="1:15" x14ac:dyDescent="0.35">
      <c r="O27" s="144"/>
    </row>
    <row r="28" spans="1:15" ht="15" customHeight="1" x14ac:dyDescent="0.35">
      <c r="A28" s="30" t="s">
        <v>66</v>
      </c>
      <c r="B28" s="141">
        <f t="shared" ref="B28:N28" si="4">B13-B26</f>
        <v>77342.02916666666</v>
      </c>
      <c r="C28" s="141">
        <f t="shared" si="4"/>
        <v>75430.958333333328</v>
      </c>
      <c r="D28" s="141">
        <f t="shared" si="4"/>
        <v>-13407.658333333333</v>
      </c>
      <c r="E28" s="141">
        <f t="shared" si="4"/>
        <v>153322.96771666667</v>
      </c>
      <c r="F28" s="141">
        <f t="shared" si="4"/>
        <v>-39098.970192333334</v>
      </c>
      <c r="G28" s="141">
        <f t="shared" si="4"/>
        <v>-22620.851655933329</v>
      </c>
      <c r="H28" s="141">
        <f t="shared" si="4"/>
        <v>-17402.556194533325</v>
      </c>
      <c r="I28" s="141">
        <f t="shared" si="4"/>
        <v>-1726.8388149333259</v>
      </c>
      <c r="J28" s="141">
        <f t="shared" si="4"/>
        <v>-5878.1122649333302</v>
      </c>
      <c r="K28" s="141">
        <f t="shared" si="4"/>
        <v>-11410.650401333332</v>
      </c>
      <c r="L28" s="141">
        <f t="shared" si="4"/>
        <v>-4510.6504013333324</v>
      </c>
      <c r="M28" s="141">
        <f t="shared" si="4"/>
        <v>-11470.179367333334</v>
      </c>
      <c r="N28" s="141">
        <f t="shared" si="4"/>
        <v>-11470.179367333334</v>
      </c>
      <c r="O28" s="145">
        <f>SUM(C28:N28)</f>
        <v>89757.279056666681</v>
      </c>
    </row>
    <row r="29" spans="1:15" ht="15" customHeight="1" x14ac:dyDescent="0.35">
      <c r="A29" s="37" t="s">
        <v>67</v>
      </c>
      <c r="B29" s="38">
        <f>B28</f>
        <v>77342.02916666666</v>
      </c>
      <c r="C29" s="38">
        <f t="shared" ref="C29:N29" si="5">B29+C28</f>
        <v>152772.98749999999</v>
      </c>
      <c r="D29" s="38">
        <f t="shared" si="5"/>
        <v>139365.32916666666</v>
      </c>
      <c r="E29" s="38">
        <f t="shared" si="5"/>
        <v>292688.29688333336</v>
      </c>
      <c r="F29" s="38">
        <f t="shared" si="5"/>
        <v>253589.32669100002</v>
      </c>
      <c r="G29" s="38">
        <f t="shared" si="5"/>
        <v>230968.47503506669</v>
      </c>
      <c r="H29" s="38">
        <f t="shared" si="5"/>
        <v>213565.91884053336</v>
      </c>
      <c r="I29" s="38">
        <f t="shared" si="5"/>
        <v>211839.08002560004</v>
      </c>
      <c r="J29" s="38">
        <f t="shared" si="5"/>
        <v>205960.96776066671</v>
      </c>
      <c r="K29" s="38">
        <f t="shared" si="5"/>
        <v>194550.31735933339</v>
      </c>
      <c r="L29" s="38">
        <f t="shared" si="5"/>
        <v>190039.66695800005</v>
      </c>
      <c r="M29" s="38">
        <f t="shared" si="5"/>
        <v>178569.48759066671</v>
      </c>
      <c r="N29" s="38">
        <f t="shared" si="5"/>
        <v>167099.30822333338</v>
      </c>
      <c r="O29" s="144"/>
    </row>
    <row r="30" spans="1:15" x14ac:dyDescent="0.35">
      <c r="O30" s="144"/>
    </row>
    <row r="31" spans="1:15" ht="15" customHeight="1" x14ac:dyDescent="0.35">
      <c r="A31" s="39" t="s">
        <v>68</v>
      </c>
      <c r="O31" s="144"/>
    </row>
    <row r="32" spans="1:15" ht="15" customHeight="1" x14ac:dyDescent="0.35">
      <c r="A32" t="s">
        <v>69</v>
      </c>
      <c r="B32">
        <v>0</v>
      </c>
      <c r="C32">
        <v>0</v>
      </c>
      <c r="D32">
        <v>0</v>
      </c>
      <c r="E32">
        <v>10</v>
      </c>
      <c r="F32">
        <v>20</v>
      </c>
      <c r="G32">
        <v>20</v>
      </c>
      <c r="H32">
        <v>9</v>
      </c>
      <c r="I32">
        <v>12</v>
      </c>
      <c r="J32">
        <v>10</v>
      </c>
      <c r="K32">
        <v>10</v>
      </c>
      <c r="L32">
        <v>10</v>
      </c>
      <c r="M32">
        <v>5</v>
      </c>
      <c r="N32">
        <v>5</v>
      </c>
      <c r="O32" s="144">
        <f>SUM(B32:N32)</f>
        <v>111</v>
      </c>
    </row>
    <row r="33" spans="1:61" ht="15" customHeight="1" x14ac:dyDescent="0.35">
      <c r="A33" t="s">
        <v>70</v>
      </c>
      <c r="B33">
        <v>0</v>
      </c>
      <c r="C33">
        <v>0</v>
      </c>
      <c r="D33">
        <v>0</v>
      </c>
      <c r="E33">
        <v>0</v>
      </c>
      <c r="F33">
        <v>5</v>
      </c>
      <c r="G33">
        <v>7</v>
      </c>
      <c r="H33">
        <v>9</v>
      </c>
      <c r="I33">
        <v>12</v>
      </c>
      <c r="J33">
        <v>12</v>
      </c>
      <c r="K33">
        <v>10</v>
      </c>
      <c r="L33">
        <v>10</v>
      </c>
      <c r="M33">
        <v>5</v>
      </c>
      <c r="N33">
        <v>5</v>
      </c>
      <c r="O33" s="144">
        <f t="shared" ref="O33" si="6">SUM(B33:N33)</f>
        <v>75</v>
      </c>
    </row>
    <row r="34" spans="1:61" ht="15" customHeight="1" x14ac:dyDescent="0.35">
      <c r="A34" t="s">
        <v>71</v>
      </c>
      <c r="B34">
        <v>0</v>
      </c>
      <c r="C34">
        <f t="shared" ref="C34:D34" si="7">(C32+B34)-C33</f>
        <v>0</v>
      </c>
      <c r="D34">
        <f t="shared" si="7"/>
        <v>0</v>
      </c>
      <c r="E34">
        <f>(E32+D34)-E33</f>
        <v>10</v>
      </c>
      <c r="F34">
        <f t="shared" ref="F34:N34" si="8">(F32+E34)-F33</f>
        <v>25</v>
      </c>
      <c r="G34">
        <f t="shared" si="8"/>
        <v>38</v>
      </c>
      <c r="H34">
        <f t="shared" si="8"/>
        <v>38</v>
      </c>
      <c r="I34">
        <f t="shared" si="8"/>
        <v>38</v>
      </c>
      <c r="J34">
        <f t="shared" si="8"/>
        <v>36</v>
      </c>
      <c r="K34">
        <f t="shared" si="8"/>
        <v>36</v>
      </c>
      <c r="L34">
        <f t="shared" si="8"/>
        <v>36</v>
      </c>
      <c r="M34">
        <f t="shared" si="8"/>
        <v>36</v>
      </c>
      <c r="N34">
        <f t="shared" si="8"/>
        <v>36</v>
      </c>
      <c r="O34" s="144"/>
    </row>
    <row r="37" spans="1:61" ht="15" customHeight="1" x14ac:dyDescent="0.35">
      <c r="A37" s="33" t="s">
        <v>72</v>
      </c>
      <c r="B37" s="210" t="s">
        <v>72</v>
      </c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2"/>
      <c r="N37" s="210" t="s">
        <v>417</v>
      </c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2"/>
      <c r="Z37" s="210" t="s">
        <v>418</v>
      </c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2"/>
      <c r="AL37" s="210" t="s">
        <v>419</v>
      </c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2"/>
      <c r="AX37" s="210" t="s">
        <v>420</v>
      </c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2"/>
    </row>
    <row r="38" spans="1:61" ht="15" customHeight="1" x14ac:dyDescent="0.35">
      <c r="B38" s="151" t="s">
        <v>40</v>
      </c>
      <c r="C38" s="34" t="s">
        <v>41</v>
      </c>
      <c r="D38" s="34" t="s">
        <v>42</v>
      </c>
      <c r="E38" s="34" t="s">
        <v>43</v>
      </c>
      <c r="F38" s="34" t="s">
        <v>44</v>
      </c>
      <c r="G38" s="34" t="s">
        <v>45</v>
      </c>
      <c r="H38" s="34" t="s">
        <v>46</v>
      </c>
      <c r="I38" s="34" t="s">
        <v>47</v>
      </c>
      <c r="J38" s="34" t="s">
        <v>48</v>
      </c>
      <c r="K38" s="34" t="s">
        <v>49</v>
      </c>
      <c r="L38" s="34" t="s">
        <v>50</v>
      </c>
      <c r="M38" s="152" t="s">
        <v>51</v>
      </c>
      <c r="N38" s="151" t="s">
        <v>40</v>
      </c>
      <c r="O38" s="34" t="s">
        <v>41</v>
      </c>
      <c r="P38" s="34" t="s">
        <v>42</v>
      </c>
      <c r="Q38" s="34" t="s">
        <v>43</v>
      </c>
      <c r="R38" s="34" t="s">
        <v>44</v>
      </c>
      <c r="S38" s="34" t="s">
        <v>45</v>
      </c>
      <c r="T38" s="34" t="s">
        <v>46</v>
      </c>
      <c r="U38" s="34" t="s">
        <v>47</v>
      </c>
      <c r="V38" s="34" t="s">
        <v>48</v>
      </c>
      <c r="W38" s="34" t="s">
        <v>49</v>
      </c>
      <c r="X38" s="34" t="s">
        <v>50</v>
      </c>
      <c r="Y38" s="152" t="s">
        <v>51</v>
      </c>
      <c r="Z38" s="151" t="s">
        <v>40</v>
      </c>
      <c r="AA38" s="34" t="s">
        <v>41</v>
      </c>
      <c r="AB38" s="34" t="s">
        <v>42</v>
      </c>
      <c r="AC38" s="34" t="s">
        <v>43</v>
      </c>
      <c r="AD38" s="34" t="s">
        <v>44</v>
      </c>
      <c r="AE38" s="34" t="s">
        <v>45</v>
      </c>
      <c r="AF38" s="34" t="s">
        <v>46</v>
      </c>
      <c r="AG38" s="34" t="s">
        <v>47</v>
      </c>
      <c r="AH38" s="34" t="s">
        <v>48</v>
      </c>
      <c r="AI38" s="34" t="s">
        <v>49</v>
      </c>
      <c r="AJ38" s="34" t="s">
        <v>50</v>
      </c>
      <c r="AK38" s="152" t="s">
        <v>51</v>
      </c>
      <c r="AL38" s="151" t="s">
        <v>40</v>
      </c>
      <c r="AM38" s="34" t="s">
        <v>41</v>
      </c>
      <c r="AN38" s="34" t="s">
        <v>42</v>
      </c>
      <c r="AO38" s="34" t="s">
        <v>43</v>
      </c>
      <c r="AP38" s="34" t="s">
        <v>44</v>
      </c>
      <c r="AQ38" s="34" t="s">
        <v>45</v>
      </c>
      <c r="AR38" s="34" t="s">
        <v>46</v>
      </c>
      <c r="AS38" s="34" t="s">
        <v>47</v>
      </c>
      <c r="AT38" s="34" t="s">
        <v>48</v>
      </c>
      <c r="AU38" s="34" t="s">
        <v>49</v>
      </c>
      <c r="AV38" s="34" t="s">
        <v>50</v>
      </c>
      <c r="AW38" s="152" t="s">
        <v>51</v>
      </c>
      <c r="AX38" s="151" t="s">
        <v>40</v>
      </c>
      <c r="AY38" s="34" t="s">
        <v>41</v>
      </c>
      <c r="AZ38" s="34" t="s">
        <v>42</v>
      </c>
      <c r="BA38" s="34" t="s">
        <v>43</v>
      </c>
      <c r="BB38" s="34" t="s">
        <v>44</v>
      </c>
      <c r="BC38" s="34" t="s">
        <v>45</v>
      </c>
      <c r="BD38" s="34" t="s">
        <v>46</v>
      </c>
      <c r="BE38" s="34" t="s">
        <v>47</v>
      </c>
      <c r="BF38" s="34" t="s">
        <v>48</v>
      </c>
      <c r="BG38" s="34" t="s">
        <v>49</v>
      </c>
      <c r="BH38" s="34" t="s">
        <v>50</v>
      </c>
      <c r="BI38" s="152" t="s">
        <v>51</v>
      </c>
    </row>
    <row r="39" spans="1:61" ht="15" customHeight="1" x14ac:dyDescent="0.35">
      <c r="A39" s="35" t="s">
        <v>52</v>
      </c>
      <c r="B39" s="153"/>
      <c r="M39" s="154"/>
      <c r="N39" s="153"/>
      <c r="Y39" s="154"/>
      <c r="Z39" s="153"/>
      <c r="AK39" s="154"/>
      <c r="AL39" s="153"/>
      <c r="AW39" s="154"/>
      <c r="AX39" s="153"/>
      <c r="BI39" s="154"/>
    </row>
    <row r="40" spans="1:61" ht="15" customHeight="1" x14ac:dyDescent="0.35">
      <c r="A40" t="s">
        <v>73</v>
      </c>
      <c r="B40" s="153">
        <v>0</v>
      </c>
      <c r="C40" s="36">
        <v>0</v>
      </c>
      <c r="D40" s="36">
        <v>50000</v>
      </c>
      <c r="E40" s="36">
        <v>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155">
        <v>0</v>
      </c>
      <c r="N40" s="153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155"/>
      <c r="Z40" s="153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155"/>
      <c r="AL40" s="153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155"/>
      <c r="AX40" s="153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155"/>
    </row>
    <row r="41" spans="1:61" ht="15" customHeight="1" x14ac:dyDescent="0.35">
      <c r="A41" t="s">
        <v>55</v>
      </c>
      <c r="B41" s="156">
        <f>B61*'Marges Produits'!$C$45</f>
        <v>12433.3325</v>
      </c>
      <c r="C41" s="36">
        <f>C61*'Marges Produits'!$C$45</f>
        <v>24866.665000000001</v>
      </c>
      <c r="D41" s="36">
        <f>D61*'Marges Produits'!$C$45</f>
        <v>37299.997500000005</v>
      </c>
      <c r="E41" s="36">
        <f>E61*'Marges Produits'!$C$45</f>
        <v>62166.662500000006</v>
      </c>
      <c r="F41" s="36">
        <f>F61*'Marges Produits'!$C$45</f>
        <v>87033.327500000014</v>
      </c>
      <c r="G41" s="36">
        <f>G61*'Marges Produits'!$C$45</f>
        <v>87033.327500000014</v>
      </c>
      <c r="H41" s="36">
        <f>H61*'Marges Produits'!$C$45</f>
        <v>87033.327500000014</v>
      </c>
      <c r="I41" s="36">
        <f>I61*'Marges Produits'!$C$45</f>
        <v>74599.99500000001</v>
      </c>
      <c r="J41" s="36">
        <f>J61*'Marges Produits'!$C$45</f>
        <v>62166.662500000006</v>
      </c>
      <c r="K41" s="36">
        <f>K61*'Marges Produits'!$C$45</f>
        <v>37299.997500000005</v>
      </c>
      <c r="L41" s="36">
        <f>L61*'Marges Produits'!$C$45</f>
        <v>24866.665000000001</v>
      </c>
      <c r="M41" s="155">
        <f>M61*'Marges Produits'!$C$45</f>
        <v>24866.665000000001</v>
      </c>
      <c r="N41" s="156">
        <f>N61*'Marges Produits'!$C$45</f>
        <v>37299.997500000005</v>
      </c>
      <c r="O41" s="36">
        <f>O61*'Marges Produits'!$C$45</f>
        <v>74599.99500000001</v>
      </c>
      <c r="P41" s="36">
        <f>P61*'Marges Produits'!$C$45</f>
        <v>124333.32500000001</v>
      </c>
      <c r="Q41" s="36">
        <f>Q61*'Marges Produits'!$C$45</f>
        <v>149199.99000000002</v>
      </c>
      <c r="R41" s="36">
        <f>R61*'Marges Produits'!$C$45</f>
        <v>174066.65500000003</v>
      </c>
      <c r="S41" s="36">
        <f>S61*'Marges Produits'!$C$45</f>
        <v>174066.65500000003</v>
      </c>
      <c r="T41" s="36">
        <f>T61*'Marges Produits'!$C$45</f>
        <v>174066.65500000003</v>
      </c>
      <c r="U41" s="36">
        <f>U61*'Marges Produits'!$C$45</f>
        <v>161633.32250000001</v>
      </c>
      <c r="V41" s="36">
        <f>V61*'Marges Produits'!$C$45</f>
        <v>124333.32500000001</v>
      </c>
      <c r="W41" s="36">
        <f>W61*'Marges Produits'!$C$45</f>
        <v>74599.99500000001</v>
      </c>
      <c r="X41" s="36">
        <f>X61*'Marges Produits'!$C$45</f>
        <v>49733.33</v>
      </c>
      <c r="Y41" s="155">
        <f>Y61*'Marges Produits'!$C$45</f>
        <v>49733.33</v>
      </c>
      <c r="Z41" s="156">
        <f>Z61*'Marges Produits'!$C$45</f>
        <v>99466.66</v>
      </c>
      <c r="AA41" s="36">
        <f>AA61*'Marges Produits'!$C$45</f>
        <v>111899.99250000001</v>
      </c>
      <c r="AB41" s="36">
        <f>AB61*'Marges Produits'!$C$45</f>
        <v>161633.32250000001</v>
      </c>
      <c r="AC41" s="36">
        <f>AC61*'Marges Produits'!$C$45</f>
        <v>211366.65250000003</v>
      </c>
      <c r="AD41" s="36">
        <f>AD61*'Marges Produits'!$C$45</f>
        <v>248666.65000000002</v>
      </c>
      <c r="AE41" s="36">
        <f>AE61*'Marges Produits'!$C$45</f>
        <v>248666.65000000002</v>
      </c>
      <c r="AF41" s="36">
        <f>AF61*'Marges Produits'!$C$45</f>
        <v>248666.65000000002</v>
      </c>
      <c r="AG41" s="36">
        <f>AG61*'Marges Produits'!$C$45</f>
        <v>211366.65250000003</v>
      </c>
      <c r="AH41" s="36">
        <f>AH61*'Marges Produits'!$C$45</f>
        <v>186499.98750000002</v>
      </c>
      <c r="AI41" s="36">
        <f>AI61*'Marges Produits'!$C$45</f>
        <v>111899.99250000001</v>
      </c>
      <c r="AJ41" s="36">
        <f>AJ61*'Marges Produits'!$C$45</f>
        <v>74599.99500000001</v>
      </c>
      <c r="AK41" s="155">
        <f>AK61*'Marges Produits'!$C$45</f>
        <v>74599.99500000001</v>
      </c>
      <c r="AL41" s="156">
        <f>AL61*'Marges Produits'!$C$45</f>
        <v>124333.32500000001</v>
      </c>
      <c r="AM41" s="36">
        <f>AM61*'Marges Produits'!$C$45</f>
        <v>139253.32400000002</v>
      </c>
      <c r="AN41" s="36">
        <f>AN61*'Marges Produits'!$C$45</f>
        <v>201419.98650000003</v>
      </c>
      <c r="AO41" s="36">
        <f>AO61*'Marges Produits'!$C$45</f>
        <v>263586.64900000003</v>
      </c>
      <c r="AP41" s="36">
        <f>AP61*'Marges Produits'!$C$45</f>
        <v>310833.31250000006</v>
      </c>
      <c r="AQ41" s="36">
        <f>AQ61*'Marges Produits'!$C$45</f>
        <v>310833.31250000006</v>
      </c>
      <c r="AR41" s="36">
        <f>AR61*'Marges Produits'!$C$45</f>
        <v>310833.31250000006</v>
      </c>
      <c r="AS41" s="36">
        <f>AS61*'Marges Produits'!$C$45</f>
        <v>263586.64900000003</v>
      </c>
      <c r="AT41" s="36">
        <f>AT61*'Marges Produits'!$C$45</f>
        <v>233746.65100000001</v>
      </c>
      <c r="AU41" s="36">
        <f>AU61*'Marges Produits'!$C$45</f>
        <v>139253.32400000002</v>
      </c>
      <c r="AV41" s="36">
        <f>AV61*'Marges Produits'!$C$45</f>
        <v>94493.327000000005</v>
      </c>
      <c r="AW41" s="155">
        <f>AW61*'Marges Produits'!$C$45</f>
        <v>94493.327000000005</v>
      </c>
      <c r="AX41" s="156">
        <f>AX61*(('Marges Produits'!$C$45)*1.05)</f>
        <v>130549.99125000002</v>
      </c>
      <c r="AY41" s="156">
        <f>AY61*(('Marges Produits'!$C$45)*1.05)</f>
        <v>146215.99020000003</v>
      </c>
      <c r="AZ41" s="156">
        <f>AZ61*(('Marges Produits'!$C$45)*1.05)</f>
        <v>211490.98582500004</v>
      </c>
      <c r="BA41" s="156">
        <f>BA61*(('Marges Produits'!$C$45)*1.05)</f>
        <v>276765.98145000002</v>
      </c>
      <c r="BB41" s="156">
        <f>BB61*(('Marges Produits'!$C$45)*1.05)</f>
        <v>326374.97812500002</v>
      </c>
      <c r="BC41" s="156">
        <f>BC61*(('Marges Produits'!$C$45)*1.05)</f>
        <v>326374.97812500002</v>
      </c>
      <c r="BD41" s="156">
        <f>BD61*(('Marges Produits'!$C$45)*1.05)</f>
        <v>326374.97812500002</v>
      </c>
      <c r="BE41" s="156">
        <f>BE61*(('Marges Produits'!$C$45)*1.05)</f>
        <v>276765.98145000002</v>
      </c>
      <c r="BF41" s="156">
        <f>BF61*(('Marges Produits'!$C$45)*1.05)</f>
        <v>245433.98355000003</v>
      </c>
      <c r="BG41" s="156">
        <f>BG61*(('Marges Produits'!$C$45)*1.05)</f>
        <v>146215.99020000003</v>
      </c>
      <c r="BH41" s="156">
        <f>BH61*(('Marges Produits'!$C$45)*1.05)</f>
        <v>99217.993350000019</v>
      </c>
      <c r="BI41" s="156">
        <f>BI61*(('Marges Produits'!$C$45)*1.05)</f>
        <v>99217.993350000019</v>
      </c>
    </row>
    <row r="42" spans="1:61" ht="15" customHeight="1" x14ac:dyDescent="0.35">
      <c r="A42" s="30" t="s">
        <v>56</v>
      </c>
      <c r="B42" s="156">
        <f>SUM(B40:B41)</f>
        <v>12433.3325</v>
      </c>
      <c r="C42" s="36">
        <f t="shared" ref="C42:N42" si="9">SUM(C40:C41)</f>
        <v>24866.665000000001</v>
      </c>
      <c r="D42" s="36">
        <f>SUM(D40:D41)</f>
        <v>87299.997499999998</v>
      </c>
      <c r="E42" s="36">
        <f t="shared" si="9"/>
        <v>62166.662500000006</v>
      </c>
      <c r="F42" s="36">
        <f t="shared" si="9"/>
        <v>87033.327500000014</v>
      </c>
      <c r="G42" s="36">
        <f t="shared" si="9"/>
        <v>87033.327500000014</v>
      </c>
      <c r="H42" s="36">
        <f t="shared" si="9"/>
        <v>87033.327500000014</v>
      </c>
      <c r="I42" s="36">
        <f t="shared" si="9"/>
        <v>74599.99500000001</v>
      </c>
      <c r="J42" s="36">
        <f t="shared" si="9"/>
        <v>62166.662500000006</v>
      </c>
      <c r="K42" s="36">
        <f t="shared" si="9"/>
        <v>37299.997500000005</v>
      </c>
      <c r="L42" s="36">
        <f t="shared" si="9"/>
        <v>24866.665000000001</v>
      </c>
      <c r="M42" s="155">
        <f t="shared" si="9"/>
        <v>24866.665000000001</v>
      </c>
      <c r="N42" s="156">
        <f t="shared" si="9"/>
        <v>37299.997500000005</v>
      </c>
      <c r="O42" s="36">
        <f t="shared" ref="O42:P42" si="10">SUM(O40:O41)</f>
        <v>74599.99500000001</v>
      </c>
      <c r="P42" s="36">
        <f t="shared" si="10"/>
        <v>124333.32500000001</v>
      </c>
      <c r="Q42" s="36">
        <f t="shared" ref="Q42" si="11">SUM(Q40:Q41)</f>
        <v>149199.99000000002</v>
      </c>
      <c r="R42" s="36">
        <f t="shared" ref="R42" si="12">SUM(R40:R41)</f>
        <v>174066.65500000003</v>
      </c>
      <c r="S42" s="36">
        <f t="shared" ref="S42" si="13">SUM(S40:S41)</f>
        <v>174066.65500000003</v>
      </c>
      <c r="T42" s="36">
        <f t="shared" ref="T42" si="14">SUM(T40:T41)</f>
        <v>174066.65500000003</v>
      </c>
      <c r="U42" s="36">
        <f t="shared" ref="U42" si="15">SUM(U40:U41)</f>
        <v>161633.32250000001</v>
      </c>
      <c r="V42" s="36">
        <f t="shared" ref="V42" si="16">SUM(V40:V41)</f>
        <v>124333.32500000001</v>
      </c>
      <c r="W42" s="36">
        <f t="shared" ref="W42" si="17">SUM(W40:W41)</f>
        <v>74599.99500000001</v>
      </c>
      <c r="X42" s="36">
        <f t="shared" ref="X42" si="18">SUM(X40:X41)</f>
        <v>49733.33</v>
      </c>
      <c r="Y42" s="155">
        <f t="shared" ref="Y42:Z42" si="19">SUM(Y40:Y41)</f>
        <v>49733.33</v>
      </c>
      <c r="Z42" s="156">
        <f t="shared" si="19"/>
        <v>99466.66</v>
      </c>
      <c r="AA42" s="36">
        <f t="shared" ref="AA42:AB42" si="20">SUM(AA40:AA41)</f>
        <v>111899.99250000001</v>
      </c>
      <c r="AB42" s="36">
        <f t="shared" si="20"/>
        <v>161633.32250000001</v>
      </c>
      <c r="AC42" s="36">
        <f t="shared" ref="AC42" si="21">SUM(AC40:AC41)</f>
        <v>211366.65250000003</v>
      </c>
      <c r="AD42" s="36">
        <f t="shared" ref="AD42" si="22">SUM(AD40:AD41)</f>
        <v>248666.65000000002</v>
      </c>
      <c r="AE42" s="36">
        <f t="shared" ref="AE42" si="23">SUM(AE40:AE41)</f>
        <v>248666.65000000002</v>
      </c>
      <c r="AF42" s="36">
        <f t="shared" ref="AF42" si="24">SUM(AF40:AF41)</f>
        <v>248666.65000000002</v>
      </c>
      <c r="AG42" s="36">
        <f t="shared" ref="AG42" si="25">SUM(AG40:AG41)</f>
        <v>211366.65250000003</v>
      </c>
      <c r="AH42" s="36">
        <f t="shared" ref="AH42" si="26">SUM(AH40:AH41)</f>
        <v>186499.98750000002</v>
      </c>
      <c r="AI42" s="36">
        <f t="shared" ref="AI42" si="27">SUM(AI40:AI41)</f>
        <v>111899.99250000001</v>
      </c>
      <c r="AJ42" s="36">
        <f t="shared" ref="AJ42" si="28">SUM(AJ40:AJ41)</f>
        <v>74599.99500000001</v>
      </c>
      <c r="AK42" s="155">
        <f t="shared" ref="AK42:AL42" si="29">SUM(AK40:AK41)</f>
        <v>74599.99500000001</v>
      </c>
      <c r="AL42" s="156">
        <f t="shared" si="29"/>
        <v>124333.32500000001</v>
      </c>
      <c r="AM42" s="36">
        <f t="shared" ref="AM42:AN42" si="30">SUM(AM40:AM41)</f>
        <v>139253.32400000002</v>
      </c>
      <c r="AN42" s="36">
        <f t="shared" si="30"/>
        <v>201419.98650000003</v>
      </c>
      <c r="AO42" s="36">
        <f t="shared" ref="AO42" si="31">SUM(AO40:AO41)</f>
        <v>263586.64900000003</v>
      </c>
      <c r="AP42" s="36">
        <f t="shared" ref="AP42" si="32">SUM(AP40:AP41)</f>
        <v>310833.31250000006</v>
      </c>
      <c r="AQ42" s="36">
        <f t="shared" ref="AQ42" si="33">SUM(AQ40:AQ41)</f>
        <v>310833.31250000006</v>
      </c>
      <c r="AR42" s="36">
        <f t="shared" ref="AR42" si="34">SUM(AR40:AR41)</f>
        <v>310833.31250000006</v>
      </c>
      <c r="AS42" s="36">
        <f t="shared" ref="AS42" si="35">SUM(AS40:AS41)</f>
        <v>263586.64900000003</v>
      </c>
      <c r="AT42" s="36">
        <f t="shared" ref="AT42" si="36">SUM(AT40:AT41)</f>
        <v>233746.65100000001</v>
      </c>
      <c r="AU42" s="36">
        <f t="shared" ref="AU42" si="37">SUM(AU40:AU41)</f>
        <v>139253.32400000002</v>
      </c>
      <c r="AV42" s="36">
        <f t="shared" ref="AV42" si="38">SUM(AV40:AV41)</f>
        <v>94493.327000000005</v>
      </c>
      <c r="AW42" s="155">
        <f t="shared" ref="AW42:AX42" si="39">SUM(AW40:AW41)</f>
        <v>94493.327000000005</v>
      </c>
      <c r="AX42" s="156">
        <f t="shared" si="39"/>
        <v>130549.99125000002</v>
      </c>
      <c r="AY42" s="36">
        <f t="shared" ref="AY42:AZ42" si="40">SUM(AY40:AY41)</f>
        <v>146215.99020000003</v>
      </c>
      <c r="AZ42" s="36">
        <f t="shared" si="40"/>
        <v>211490.98582500004</v>
      </c>
      <c r="BA42" s="36">
        <f t="shared" ref="BA42" si="41">SUM(BA40:BA41)</f>
        <v>276765.98145000002</v>
      </c>
      <c r="BB42" s="36">
        <f t="shared" ref="BB42" si="42">SUM(BB40:BB41)</f>
        <v>326374.97812500002</v>
      </c>
      <c r="BC42" s="36">
        <f t="shared" ref="BC42" si="43">SUM(BC40:BC41)</f>
        <v>326374.97812500002</v>
      </c>
      <c r="BD42" s="36">
        <f t="shared" ref="BD42" si="44">SUM(BD40:BD41)</f>
        <v>326374.97812500002</v>
      </c>
      <c r="BE42" s="36">
        <f t="shared" ref="BE42" si="45">SUM(BE40:BE41)</f>
        <v>276765.98145000002</v>
      </c>
      <c r="BF42" s="36">
        <f t="shared" ref="BF42" si="46">SUM(BF40:BF41)</f>
        <v>245433.98355000003</v>
      </c>
      <c r="BG42" s="36">
        <f t="shared" ref="BG42" si="47">SUM(BG40:BG41)</f>
        <v>146215.99020000003</v>
      </c>
      <c r="BH42" s="36">
        <f t="shared" ref="BH42" si="48">SUM(BH40:BH41)</f>
        <v>99217.993350000019</v>
      </c>
      <c r="BI42" s="155">
        <f t="shared" ref="BI42" si="49">SUM(BI40:BI41)</f>
        <v>99217.993350000019</v>
      </c>
    </row>
    <row r="43" spans="1:61" x14ac:dyDescent="0.35">
      <c r="B43" s="153"/>
      <c r="M43" s="154"/>
      <c r="N43" s="153"/>
      <c r="Y43" s="154"/>
      <c r="Z43" s="153"/>
      <c r="AK43" s="154"/>
      <c r="AL43" s="153"/>
      <c r="AW43" s="154"/>
      <c r="AX43" s="153"/>
      <c r="BI43" s="154"/>
    </row>
    <row r="44" spans="1:61" ht="15" customHeight="1" x14ac:dyDescent="0.35">
      <c r="A44" s="35" t="s">
        <v>57</v>
      </c>
      <c r="B44" s="153"/>
      <c r="M44" s="154"/>
      <c r="N44" s="153"/>
      <c r="Y44" s="154"/>
      <c r="Z44" s="153"/>
      <c r="AK44" s="154"/>
      <c r="AL44" s="153"/>
      <c r="AW44" s="154"/>
      <c r="AX44" s="153"/>
      <c r="BI44" s="154"/>
    </row>
    <row r="45" spans="1:61" ht="15" customHeight="1" x14ac:dyDescent="0.35">
      <c r="A45" t="s">
        <v>411</v>
      </c>
      <c r="B45" s="157">
        <f>'Charges Fixes Plume'!$C$33*2</f>
        <v>2236.9739999999997</v>
      </c>
      <c r="C45" s="143">
        <f>'Charges Fixes Plume'!$C$33*2</f>
        <v>2236.9739999999997</v>
      </c>
      <c r="D45" s="143">
        <f>'Charges Fixes Plume'!$C$33*2</f>
        <v>2236.9739999999997</v>
      </c>
      <c r="E45" s="143">
        <f>'Charges Fixes Plume'!$C$33*2</f>
        <v>2236.9739999999997</v>
      </c>
      <c r="F45" s="143">
        <f>'Charges Fixes Plume'!$C$33*2</f>
        <v>2236.9739999999997</v>
      </c>
      <c r="G45" s="143">
        <f>'Charges Fixes Plume'!$C$33*2</f>
        <v>2236.9739999999997</v>
      </c>
      <c r="H45" s="143">
        <f>'Charges Fixes Plume'!$C$33*2</f>
        <v>2236.9739999999997</v>
      </c>
      <c r="I45" s="143">
        <f>'Charges Fixes Plume'!$C$33*2</f>
        <v>2236.9739999999997</v>
      </c>
      <c r="J45" s="143">
        <f>'Charges Fixes Plume'!$C$33*2</f>
        <v>2236.9739999999997</v>
      </c>
      <c r="K45" s="143">
        <f>'Charges Fixes Plume'!$C$33*2</f>
        <v>2236.9739999999997</v>
      </c>
      <c r="L45" s="143">
        <f>'Charges Fixes Plume'!$C$33*2</f>
        <v>2236.9739999999997</v>
      </c>
      <c r="M45" s="158">
        <f>'Charges Fixes Plume'!$C$33*2</f>
        <v>2236.9739999999997</v>
      </c>
      <c r="N45" s="157">
        <f>'Charges Fixes Plume'!$C$33*2</f>
        <v>2236.9739999999997</v>
      </c>
      <c r="O45" s="143">
        <f>'Charges Fixes Plume'!$C$33*2</f>
        <v>2236.9739999999997</v>
      </c>
      <c r="P45" s="143">
        <f>'Charges Fixes Plume'!$C$33*2</f>
        <v>2236.9739999999997</v>
      </c>
      <c r="Q45" s="143">
        <f>'Charges Fixes Plume'!$C$33*2</f>
        <v>2236.9739999999997</v>
      </c>
      <c r="R45" s="143">
        <f>'Charges Fixes Plume'!$C$33*2</f>
        <v>2236.9739999999997</v>
      </c>
      <c r="S45" s="143">
        <f>'Charges Fixes Plume'!$C$33*2</f>
        <v>2236.9739999999997</v>
      </c>
      <c r="T45" s="143">
        <f>'Charges Fixes Plume'!$C$33*2</f>
        <v>2236.9739999999997</v>
      </c>
      <c r="U45" s="143">
        <f>'Charges Fixes Plume'!$C$33*2</f>
        <v>2236.9739999999997</v>
      </c>
      <c r="V45" s="143">
        <f>'Charges Fixes Plume'!$C$33*2</f>
        <v>2236.9739999999997</v>
      </c>
      <c r="W45" s="143">
        <f>'Charges Fixes Plume'!$C$33*2</f>
        <v>2236.9739999999997</v>
      </c>
      <c r="X45" s="143">
        <f>'Charges Fixes Plume'!$C$33*2</f>
        <v>2236.9739999999997</v>
      </c>
      <c r="Y45" s="158">
        <f>'Charges Fixes Plume'!$C$33*2</f>
        <v>2236.9739999999997</v>
      </c>
      <c r="Z45" s="157">
        <f>'Charges Fixes Plume'!$C$33*2</f>
        <v>2236.9739999999997</v>
      </c>
      <c r="AA45" s="143">
        <f>'Charges Fixes Plume'!$C$33*2</f>
        <v>2236.9739999999997</v>
      </c>
      <c r="AB45" s="143">
        <f>'Charges Fixes Plume'!$C$33*2</f>
        <v>2236.9739999999997</v>
      </c>
      <c r="AC45" s="143">
        <f>'Charges Fixes Plume'!$C$33*2</f>
        <v>2236.9739999999997</v>
      </c>
      <c r="AD45" s="143">
        <f>'Charges Fixes Plume'!$C$33*2</f>
        <v>2236.9739999999997</v>
      </c>
      <c r="AE45" s="143">
        <f>'Charges Fixes Plume'!$C$33*2</f>
        <v>2236.9739999999997</v>
      </c>
      <c r="AF45" s="143">
        <f>'Charges Fixes Plume'!$C$33*2</f>
        <v>2236.9739999999997</v>
      </c>
      <c r="AG45" s="143">
        <f>'Charges Fixes Plume'!$C$33*2</f>
        <v>2236.9739999999997</v>
      </c>
      <c r="AH45" s="143">
        <f>'Charges Fixes Plume'!$C$33*2</f>
        <v>2236.9739999999997</v>
      </c>
      <c r="AI45" s="143">
        <f>'Charges Fixes Plume'!$C$33*2</f>
        <v>2236.9739999999997</v>
      </c>
      <c r="AJ45" s="143">
        <f>'Charges Fixes Plume'!$C$33*2</f>
        <v>2236.9739999999997</v>
      </c>
      <c r="AK45" s="158">
        <f>'Charges Fixes Plume'!$C$33*2</f>
        <v>2236.9739999999997</v>
      </c>
      <c r="AL45" s="157">
        <f>'Charges Fixes Plume'!$C$33*2</f>
        <v>2236.9739999999997</v>
      </c>
      <c r="AM45" s="143">
        <f>'Charges Fixes Plume'!$C$33*2</f>
        <v>2236.9739999999997</v>
      </c>
      <c r="AN45" s="143">
        <f>'Charges Fixes Plume'!$C$33*2</f>
        <v>2236.9739999999997</v>
      </c>
      <c r="AO45" s="143">
        <f>'Charges Fixes Plume'!$C$33*2</f>
        <v>2236.9739999999997</v>
      </c>
      <c r="AP45" s="143">
        <f>'Charges Fixes Plume'!$C$33*2</f>
        <v>2236.9739999999997</v>
      </c>
      <c r="AQ45" s="143">
        <f>'Charges Fixes Plume'!$C$33*2</f>
        <v>2236.9739999999997</v>
      </c>
      <c r="AR45" s="143">
        <f>'Charges Fixes Plume'!$C$33*2</f>
        <v>2236.9739999999997</v>
      </c>
      <c r="AS45" s="143">
        <f>'Charges Fixes Plume'!$C$33*2</f>
        <v>2236.9739999999997</v>
      </c>
      <c r="AT45" s="143">
        <f>'Charges Fixes Plume'!$C$33*2</f>
        <v>2236.9739999999997</v>
      </c>
      <c r="AU45" s="143">
        <f>'Charges Fixes Plume'!$C$33*2</f>
        <v>2236.9739999999997</v>
      </c>
      <c r="AV45" s="143">
        <f>'Charges Fixes Plume'!$C$33*2</f>
        <v>2236.9739999999997</v>
      </c>
      <c r="AW45" s="158">
        <f>'Charges Fixes Plume'!$C$33*2</f>
        <v>2236.9739999999997</v>
      </c>
      <c r="AX45" s="157">
        <f>'Charges Fixes Plume'!$C$33*2</f>
        <v>2236.9739999999997</v>
      </c>
      <c r="AY45" s="143">
        <f>'Charges Fixes Plume'!$C$33*2</f>
        <v>2236.9739999999997</v>
      </c>
      <c r="AZ45" s="143">
        <f>'Charges Fixes Plume'!$C$33*2</f>
        <v>2236.9739999999997</v>
      </c>
      <c r="BA45" s="143">
        <f>'Charges Fixes Plume'!$C$33*2</f>
        <v>2236.9739999999997</v>
      </c>
      <c r="BB45" s="143">
        <f>'Charges Fixes Plume'!$C$33*2</f>
        <v>2236.9739999999997</v>
      </c>
      <c r="BC45" s="143">
        <f>'Charges Fixes Plume'!$C$33*2</f>
        <v>2236.9739999999997</v>
      </c>
      <c r="BD45" s="143">
        <f>'Charges Fixes Plume'!$C$33*2</f>
        <v>2236.9739999999997</v>
      </c>
      <c r="BE45" s="143">
        <f>'Charges Fixes Plume'!$C$33*2</f>
        <v>2236.9739999999997</v>
      </c>
      <c r="BF45" s="143">
        <f>'Charges Fixes Plume'!$C$33*2</f>
        <v>2236.9739999999997</v>
      </c>
      <c r="BG45" s="143">
        <f>'Charges Fixes Plume'!$C$33*2</f>
        <v>2236.9739999999997</v>
      </c>
      <c r="BH45" s="143">
        <f>'Charges Fixes Plume'!$C$33*2</f>
        <v>2236.9739999999997</v>
      </c>
      <c r="BI45" s="158">
        <f>'Charges Fixes Plume'!$C$33*2</f>
        <v>2236.9739999999997</v>
      </c>
    </row>
    <row r="46" spans="1:61" ht="15" customHeight="1" x14ac:dyDescent="0.35">
      <c r="A46" t="s">
        <v>18</v>
      </c>
      <c r="B46" s="156">
        <f>'Charges Fixes Plume'!$D$13/12</f>
        <v>8456.3333333333339</v>
      </c>
      <c r="C46" s="36">
        <f>'Charges Fixes Plume'!$D$13/12</f>
        <v>8456.3333333333339</v>
      </c>
      <c r="D46" s="36">
        <f>'Charges Fixes Plume'!$D$13/12</f>
        <v>8456.3333333333339</v>
      </c>
      <c r="E46" s="36">
        <f>'Charges Fixes Plume'!$D$13/12</f>
        <v>8456.3333333333339</v>
      </c>
      <c r="F46" s="36">
        <f>'Charges Fixes Plume'!$D$13/12</f>
        <v>8456.3333333333339</v>
      </c>
      <c r="G46" s="36">
        <f>'Charges Fixes Plume'!$D$13/12</f>
        <v>8456.3333333333339</v>
      </c>
      <c r="H46" s="36">
        <f>'Charges Fixes Plume'!$D$13/12</f>
        <v>8456.3333333333339</v>
      </c>
      <c r="I46" s="36">
        <f>'Charges Fixes Plume'!$D$13/12</f>
        <v>8456.3333333333339</v>
      </c>
      <c r="J46" s="36">
        <f>'Charges Fixes Plume'!$D$13/12</f>
        <v>8456.3333333333339</v>
      </c>
      <c r="K46" s="36">
        <f>'Charges Fixes Plume'!$D$13/12</f>
        <v>8456.3333333333339</v>
      </c>
      <c r="L46" s="36">
        <f>'Charges Fixes Plume'!$D$13/12</f>
        <v>8456.3333333333339</v>
      </c>
      <c r="M46" s="155">
        <f>'Charges Fixes Plume'!$D$13/12</f>
        <v>8456.3333333333339</v>
      </c>
      <c r="N46" s="156">
        <f>'Charges Fixes Plume'!$D$13/12</f>
        <v>8456.3333333333339</v>
      </c>
      <c r="O46" s="36">
        <f>'Charges Fixes Plume'!$D$13/12</f>
        <v>8456.3333333333339</v>
      </c>
      <c r="P46" s="36">
        <f>'Charges Fixes Plume'!$D$13/12</f>
        <v>8456.3333333333339</v>
      </c>
      <c r="Q46" s="36">
        <f>'Charges Fixes Plume'!$D$13/12</f>
        <v>8456.3333333333339</v>
      </c>
      <c r="R46" s="36">
        <f>'Charges Fixes Plume'!$D$13/12</f>
        <v>8456.3333333333339</v>
      </c>
      <c r="S46" s="36">
        <f>'Charges Fixes Plume'!$D$13/12</f>
        <v>8456.3333333333339</v>
      </c>
      <c r="T46" s="36">
        <f>'Charges Fixes Plume'!$D$13/12</f>
        <v>8456.3333333333339</v>
      </c>
      <c r="U46" s="36">
        <f>'Charges Fixes Plume'!$D$13/12</f>
        <v>8456.3333333333339</v>
      </c>
      <c r="V46" s="36">
        <f>'Charges Fixes Plume'!$D$13/12</f>
        <v>8456.3333333333339</v>
      </c>
      <c r="W46" s="36">
        <f>'Charges Fixes Plume'!$D$13/12</f>
        <v>8456.3333333333339</v>
      </c>
      <c r="X46" s="36">
        <f>'Charges Fixes Plume'!$D$13/12</f>
        <v>8456.3333333333339</v>
      </c>
      <c r="Y46" s="155">
        <f>'Charges Fixes Plume'!$D$13/12</f>
        <v>8456.3333333333339</v>
      </c>
      <c r="Z46" s="156">
        <f>'Charges Fixes Plume'!$D$13/12</f>
        <v>8456.3333333333339</v>
      </c>
      <c r="AA46" s="36">
        <f>'Charges Fixes Plume'!$D$13/12</f>
        <v>8456.3333333333339</v>
      </c>
      <c r="AB46" s="36">
        <f>'Charges Fixes Plume'!$D$13/12</f>
        <v>8456.3333333333339</v>
      </c>
      <c r="AC46" s="36">
        <f>'Charges Fixes Plume'!$D$13/12</f>
        <v>8456.3333333333339</v>
      </c>
      <c r="AD46" s="36">
        <f>'Charges Fixes Plume'!$D$13/12</f>
        <v>8456.3333333333339</v>
      </c>
      <c r="AE46" s="36">
        <f>'Charges Fixes Plume'!$D$13/12</f>
        <v>8456.3333333333339</v>
      </c>
      <c r="AF46" s="36">
        <f>'Charges Fixes Plume'!$D$13/12</f>
        <v>8456.3333333333339</v>
      </c>
      <c r="AG46" s="36">
        <f>'Charges Fixes Plume'!$D$13/12</f>
        <v>8456.3333333333339</v>
      </c>
      <c r="AH46" s="36">
        <f>'Charges Fixes Plume'!$D$13/12</f>
        <v>8456.3333333333339</v>
      </c>
      <c r="AI46" s="36">
        <f>'Charges Fixes Plume'!$D$13/12</f>
        <v>8456.3333333333339</v>
      </c>
      <c r="AJ46" s="36">
        <f>'Charges Fixes Plume'!$D$13/12</f>
        <v>8456.3333333333339</v>
      </c>
      <c r="AK46" s="155">
        <f>'Charges Fixes Plume'!$D$13/12</f>
        <v>8456.3333333333339</v>
      </c>
      <c r="AL46" s="156">
        <f>'Charges Fixes Plume'!$D$13/12</f>
        <v>8456.3333333333339</v>
      </c>
      <c r="AM46" s="36">
        <f>'Charges Fixes Plume'!$D$13/12</f>
        <v>8456.3333333333339</v>
      </c>
      <c r="AN46" s="36">
        <f>'Charges Fixes Plume'!$D$13/12</f>
        <v>8456.3333333333339</v>
      </c>
      <c r="AO46" s="36">
        <f>'Charges Fixes Plume'!$D$13/12</f>
        <v>8456.3333333333339</v>
      </c>
      <c r="AP46" s="36">
        <f>'Charges Fixes Plume'!$D$13/12</f>
        <v>8456.3333333333339</v>
      </c>
      <c r="AQ46" s="36">
        <f>'Charges Fixes Plume'!$D$13/12</f>
        <v>8456.3333333333339</v>
      </c>
      <c r="AR46" s="36">
        <f>'Charges Fixes Plume'!$D$13/12</f>
        <v>8456.3333333333339</v>
      </c>
      <c r="AS46" s="36">
        <f>'Charges Fixes Plume'!$D$13/12</f>
        <v>8456.3333333333339</v>
      </c>
      <c r="AT46" s="36">
        <f>'Charges Fixes Plume'!$D$13/12</f>
        <v>8456.3333333333339</v>
      </c>
      <c r="AU46" s="36">
        <f>'Charges Fixes Plume'!$D$13/12</f>
        <v>8456.3333333333339</v>
      </c>
      <c r="AV46" s="36">
        <f>'Charges Fixes Plume'!$D$13/12</f>
        <v>8456.3333333333339</v>
      </c>
      <c r="AW46" s="155">
        <f>'Charges Fixes Plume'!$D$13/12</f>
        <v>8456.3333333333339</v>
      </c>
      <c r="AX46" s="156">
        <f>'Charges Fixes Plume'!$D$13/12</f>
        <v>8456.3333333333339</v>
      </c>
      <c r="AY46" s="36">
        <f>'Charges Fixes Plume'!$D$13/12</f>
        <v>8456.3333333333339</v>
      </c>
      <c r="AZ46" s="36">
        <f>'Charges Fixes Plume'!$D$13/12</f>
        <v>8456.3333333333339</v>
      </c>
      <c r="BA46" s="36">
        <f>'Charges Fixes Plume'!$D$13/12</f>
        <v>8456.3333333333339</v>
      </c>
      <c r="BB46" s="36">
        <f>'Charges Fixes Plume'!$D$13/12</f>
        <v>8456.3333333333339</v>
      </c>
      <c r="BC46" s="36">
        <f>'Charges Fixes Plume'!$D$13/12</f>
        <v>8456.3333333333339</v>
      </c>
      <c r="BD46" s="36">
        <f>'Charges Fixes Plume'!$D$13/12</f>
        <v>8456.3333333333339</v>
      </c>
      <c r="BE46" s="36">
        <f>'Charges Fixes Plume'!$D$13/12</f>
        <v>8456.3333333333339</v>
      </c>
      <c r="BF46" s="36">
        <f>'Charges Fixes Plume'!$D$13/12</f>
        <v>8456.3333333333339</v>
      </c>
      <c r="BG46" s="36">
        <f>'Charges Fixes Plume'!$D$13/12</f>
        <v>8456.3333333333339</v>
      </c>
      <c r="BH46" s="36">
        <f>'Charges Fixes Plume'!$D$13/12</f>
        <v>8456.3333333333339</v>
      </c>
      <c r="BI46" s="155">
        <f>'Charges Fixes Plume'!$D$13/12</f>
        <v>8456.3333333333339</v>
      </c>
    </row>
    <row r="47" spans="1:61" ht="15" customHeight="1" x14ac:dyDescent="0.35">
      <c r="A47" t="s">
        <v>59</v>
      </c>
      <c r="B47" s="156">
        <f>'Charges Fixes Plume'!$C$28/12</f>
        <v>3342.8333333333335</v>
      </c>
      <c r="C47" s="36">
        <f>'Charges Fixes Plume'!$C$28/12</f>
        <v>3342.8333333333335</v>
      </c>
      <c r="D47" s="36">
        <f>'Charges Fixes Plume'!$C$28/12</f>
        <v>3342.8333333333335</v>
      </c>
      <c r="E47" s="36">
        <f>'Charges Fixes Plume'!$C$28/12</f>
        <v>3342.8333333333335</v>
      </c>
      <c r="F47" s="36">
        <f>'Charges Fixes Plume'!$C$28/12</f>
        <v>3342.8333333333335</v>
      </c>
      <c r="G47" s="36">
        <f>'Charges Fixes Plume'!$C$28/12</f>
        <v>3342.8333333333335</v>
      </c>
      <c r="H47" s="36">
        <f>'Charges Fixes Plume'!$C$28/12</f>
        <v>3342.8333333333335</v>
      </c>
      <c r="I47" s="36">
        <f>'Charges Fixes Plume'!$C$28/12</f>
        <v>3342.8333333333335</v>
      </c>
      <c r="J47" s="36">
        <f>'Charges Fixes Plume'!$C$28/12</f>
        <v>3342.8333333333335</v>
      </c>
      <c r="K47" s="36">
        <f>'Charges Fixes Plume'!$C$28/12</f>
        <v>3342.8333333333335</v>
      </c>
      <c r="L47" s="36">
        <f>'Charges Fixes Plume'!$C$28/12</f>
        <v>3342.8333333333335</v>
      </c>
      <c r="M47" s="155">
        <f>'Charges Fixes Plume'!$C$28/12</f>
        <v>3342.8333333333335</v>
      </c>
      <c r="N47" s="156">
        <f>'Charges Fixes Plume'!$C$28/12</f>
        <v>3342.8333333333335</v>
      </c>
      <c r="O47" s="36">
        <f>'Charges Fixes Plume'!$C$28/12</f>
        <v>3342.8333333333335</v>
      </c>
      <c r="P47" s="36">
        <f>'Charges Fixes Plume'!$C$28/12</f>
        <v>3342.8333333333335</v>
      </c>
      <c r="Q47" s="36">
        <f>'Charges Fixes Plume'!$C$28/12</f>
        <v>3342.8333333333335</v>
      </c>
      <c r="R47" s="36">
        <f>'Charges Fixes Plume'!$C$28/12</f>
        <v>3342.8333333333335</v>
      </c>
      <c r="S47" s="36">
        <f>'Charges Fixes Plume'!$C$28/12</f>
        <v>3342.8333333333335</v>
      </c>
      <c r="T47" s="36">
        <f>'Charges Fixes Plume'!$C$28/12</f>
        <v>3342.8333333333335</v>
      </c>
      <c r="U47" s="36">
        <f>'Charges Fixes Plume'!$C$28/12</f>
        <v>3342.8333333333335</v>
      </c>
      <c r="V47" s="36">
        <f>'Charges Fixes Plume'!$C$28/12</f>
        <v>3342.8333333333335</v>
      </c>
      <c r="W47" s="36">
        <f>'Charges Fixes Plume'!$C$28/12</f>
        <v>3342.8333333333335</v>
      </c>
      <c r="X47" s="36">
        <f>'Charges Fixes Plume'!$C$28/12</f>
        <v>3342.8333333333335</v>
      </c>
      <c r="Y47" s="155">
        <f>'Charges Fixes Plume'!$C$28/12</f>
        <v>3342.8333333333335</v>
      </c>
      <c r="Z47" s="156">
        <f>'Charges Fixes Plume'!$C$28/12</f>
        <v>3342.8333333333335</v>
      </c>
      <c r="AA47" s="36">
        <f>'Charges Fixes Plume'!$C$28/12</f>
        <v>3342.8333333333335</v>
      </c>
      <c r="AB47" s="36">
        <f>'Charges Fixes Plume'!$C$28/12</f>
        <v>3342.8333333333335</v>
      </c>
      <c r="AC47" s="36">
        <f>'Charges Fixes Plume'!$C$28/12</f>
        <v>3342.8333333333335</v>
      </c>
      <c r="AD47" s="36">
        <f>'Charges Fixes Plume'!$C$28/12</f>
        <v>3342.8333333333335</v>
      </c>
      <c r="AE47" s="36">
        <f>'Charges Fixes Plume'!$C$28/12</f>
        <v>3342.8333333333335</v>
      </c>
      <c r="AF47" s="36">
        <f>'Charges Fixes Plume'!$C$28/12</f>
        <v>3342.8333333333335</v>
      </c>
      <c r="AG47" s="36">
        <f>'Charges Fixes Plume'!$C$28/12</f>
        <v>3342.8333333333335</v>
      </c>
      <c r="AH47" s="36">
        <f>'Charges Fixes Plume'!$C$28/12</f>
        <v>3342.8333333333335</v>
      </c>
      <c r="AI47" s="36">
        <f>'Charges Fixes Plume'!$C$28/12</f>
        <v>3342.8333333333335</v>
      </c>
      <c r="AJ47" s="36">
        <f>'Charges Fixes Plume'!$C$28/12</f>
        <v>3342.8333333333335</v>
      </c>
      <c r="AK47" s="155">
        <f>'Charges Fixes Plume'!$C$28/12</f>
        <v>3342.8333333333335</v>
      </c>
      <c r="AL47" s="156">
        <f>'Charges Fixes Plume'!$C$28/12</f>
        <v>3342.8333333333335</v>
      </c>
      <c r="AM47" s="36">
        <f>'Charges Fixes Plume'!$C$28/12</f>
        <v>3342.8333333333335</v>
      </c>
      <c r="AN47" s="36">
        <f>'Charges Fixes Plume'!$C$28/12</f>
        <v>3342.8333333333335</v>
      </c>
      <c r="AO47" s="36">
        <f>'Charges Fixes Plume'!$C$28/12</f>
        <v>3342.8333333333335</v>
      </c>
      <c r="AP47" s="36">
        <f>'Charges Fixes Plume'!$C$28/12</f>
        <v>3342.8333333333335</v>
      </c>
      <c r="AQ47" s="36">
        <f>'Charges Fixes Plume'!$C$28/12</f>
        <v>3342.8333333333335</v>
      </c>
      <c r="AR47" s="36">
        <f>'Charges Fixes Plume'!$C$28/12</f>
        <v>3342.8333333333335</v>
      </c>
      <c r="AS47" s="36">
        <f>'Charges Fixes Plume'!$C$28/12</f>
        <v>3342.8333333333335</v>
      </c>
      <c r="AT47" s="36">
        <f>'Charges Fixes Plume'!$C$28/12</f>
        <v>3342.8333333333335</v>
      </c>
      <c r="AU47" s="36">
        <f>'Charges Fixes Plume'!$C$28/12</f>
        <v>3342.8333333333335</v>
      </c>
      <c r="AV47" s="36">
        <f>'Charges Fixes Plume'!$C$28/12</f>
        <v>3342.8333333333335</v>
      </c>
      <c r="AW47" s="155">
        <f>'Charges Fixes Plume'!$C$28/12</f>
        <v>3342.8333333333335</v>
      </c>
      <c r="AX47" s="156">
        <f>'Charges Fixes Plume'!$C$28/12</f>
        <v>3342.8333333333335</v>
      </c>
      <c r="AY47" s="36">
        <f>'Charges Fixes Plume'!$C$28/12</f>
        <v>3342.8333333333335</v>
      </c>
      <c r="AZ47" s="36">
        <f>'Charges Fixes Plume'!$C$28/12</f>
        <v>3342.8333333333335</v>
      </c>
      <c r="BA47" s="36">
        <f>'Charges Fixes Plume'!$C$28/12</f>
        <v>3342.8333333333335</v>
      </c>
      <c r="BB47" s="36">
        <f>'Charges Fixes Plume'!$C$28/12</f>
        <v>3342.8333333333335</v>
      </c>
      <c r="BC47" s="36">
        <f>'Charges Fixes Plume'!$C$28/12</f>
        <v>3342.8333333333335</v>
      </c>
      <c r="BD47" s="36">
        <f>'Charges Fixes Plume'!$C$28/12</f>
        <v>3342.8333333333335</v>
      </c>
      <c r="BE47" s="36">
        <f>'Charges Fixes Plume'!$C$28/12</f>
        <v>3342.8333333333335</v>
      </c>
      <c r="BF47" s="36">
        <f>'Charges Fixes Plume'!$C$28/12</f>
        <v>3342.8333333333335</v>
      </c>
      <c r="BG47" s="36">
        <f>'Charges Fixes Plume'!$C$28/12</f>
        <v>3342.8333333333335</v>
      </c>
      <c r="BH47" s="36">
        <f>'Charges Fixes Plume'!$C$28/12</f>
        <v>3342.8333333333335</v>
      </c>
      <c r="BI47" s="155">
        <f>'Charges Fixes Plume'!$C$28/12</f>
        <v>3342.8333333333335</v>
      </c>
    </row>
    <row r="48" spans="1:61" ht="15" customHeight="1" x14ac:dyDescent="0.35">
      <c r="A48" t="s">
        <v>60</v>
      </c>
      <c r="B48" s="156">
        <v>0</v>
      </c>
      <c r="C48" s="36">
        <v>0</v>
      </c>
      <c r="D48" s="36">
        <v>4473.9479999999994</v>
      </c>
      <c r="E48" s="36">
        <v>4473.9479999999994</v>
      </c>
      <c r="F48" s="36">
        <v>0</v>
      </c>
      <c r="G48" s="36">
        <v>0</v>
      </c>
      <c r="H48" s="36">
        <v>0</v>
      </c>
      <c r="I48" s="36">
        <v>4473.9479999999994</v>
      </c>
      <c r="J48" s="36">
        <v>0</v>
      </c>
      <c r="K48" s="36">
        <v>0</v>
      </c>
      <c r="L48" s="36">
        <v>0</v>
      </c>
      <c r="M48" s="155">
        <v>0</v>
      </c>
      <c r="N48" s="156">
        <v>0</v>
      </c>
      <c r="O48" s="36">
        <v>0</v>
      </c>
      <c r="P48" s="36">
        <v>4473.9479999999994</v>
      </c>
      <c r="Q48" s="36">
        <v>4473.9479999999994</v>
      </c>
      <c r="R48" s="36">
        <v>0</v>
      </c>
      <c r="S48" s="36">
        <v>0</v>
      </c>
      <c r="T48" s="36">
        <v>0</v>
      </c>
      <c r="U48" s="36">
        <v>4473.9479999999994</v>
      </c>
      <c r="V48" s="36">
        <v>0</v>
      </c>
      <c r="W48" s="36">
        <v>0</v>
      </c>
      <c r="X48" s="36">
        <v>0</v>
      </c>
      <c r="Y48" s="155">
        <v>0</v>
      </c>
      <c r="Z48" s="156">
        <v>0</v>
      </c>
      <c r="AA48" s="36">
        <v>0</v>
      </c>
      <c r="AB48" s="36">
        <v>4473.9479999999994</v>
      </c>
      <c r="AC48" s="36">
        <v>4473.9479999999994</v>
      </c>
      <c r="AD48" s="36">
        <v>0</v>
      </c>
      <c r="AE48" s="36">
        <v>0</v>
      </c>
      <c r="AF48" s="36">
        <v>0</v>
      </c>
      <c r="AG48" s="36">
        <v>4473.9479999999994</v>
      </c>
      <c r="AH48" s="36">
        <v>0</v>
      </c>
      <c r="AI48" s="36">
        <v>0</v>
      </c>
      <c r="AJ48" s="36">
        <v>0</v>
      </c>
      <c r="AK48" s="155">
        <v>0</v>
      </c>
      <c r="AL48" s="156">
        <v>0</v>
      </c>
      <c r="AM48" s="36">
        <v>0</v>
      </c>
      <c r="AN48" s="36">
        <v>4473.9479999999994</v>
      </c>
      <c r="AO48" s="36">
        <v>4473.9479999999994</v>
      </c>
      <c r="AP48" s="36">
        <v>0</v>
      </c>
      <c r="AQ48" s="36">
        <v>0</v>
      </c>
      <c r="AR48" s="36">
        <v>0</v>
      </c>
      <c r="AS48" s="36">
        <v>4473.9479999999994</v>
      </c>
      <c r="AT48" s="36">
        <v>0</v>
      </c>
      <c r="AU48" s="36">
        <v>0</v>
      </c>
      <c r="AV48" s="36">
        <v>0</v>
      </c>
      <c r="AW48" s="155">
        <v>0</v>
      </c>
      <c r="AX48" s="156">
        <v>0</v>
      </c>
      <c r="AY48" s="36">
        <v>0</v>
      </c>
      <c r="AZ48" s="36">
        <v>4473.9479999999994</v>
      </c>
      <c r="BA48" s="36">
        <v>4473.9479999999994</v>
      </c>
      <c r="BB48" s="36">
        <v>0</v>
      </c>
      <c r="BC48" s="36">
        <v>0</v>
      </c>
      <c r="BD48" s="36">
        <v>0</v>
      </c>
      <c r="BE48" s="36">
        <v>4473.9479999999994</v>
      </c>
      <c r="BF48" s="36">
        <v>0</v>
      </c>
      <c r="BG48" s="36">
        <v>0</v>
      </c>
      <c r="BH48" s="36">
        <v>0</v>
      </c>
      <c r="BI48" s="155">
        <v>0</v>
      </c>
    </row>
    <row r="49" spans="1:61" x14ac:dyDescent="0.35">
      <c r="A49" t="s">
        <v>61</v>
      </c>
      <c r="B49" s="153">
        <v>0</v>
      </c>
      <c r="C49">
        <v>0</v>
      </c>
      <c r="D49">
        <v>5570</v>
      </c>
      <c r="E49">
        <v>5570</v>
      </c>
      <c r="F49">
        <v>0</v>
      </c>
      <c r="G49">
        <v>0</v>
      </c>
      <c r="H49">
        <v>0</v>
      </c>
      <c r="I49">
        <v>1000</v>
      </c>
      <c r="J49">
        <v>0</v>
      </c>
      <c r="K49">
        <v>0</v>
      </c>
      <c r="L49">
        <v>0</v>
      </c>
      <c r="M49" s="154">
        <v>0</v>
      </c>
      <c r="N49" s="153">
        <v>0</v>
      </c>
      <c r="O49">
        <v>0</v>
      </c>
      <c r="P49">
        <v>5570</v>
      </c>
      <c r="Q49">
        <v>5570</v>
      </c>
      <c r="R49">
        <v>0</v>
      </c>
      <c r="S49">
        <v>0</v>
      </c>
      <c r="T49">
        <v>0</v>
      </c>
      <c r="U49">
        <v>1000</v>
      </c>
      <c r="V49">
        <v>0</v>
      </c>
      <c r="W49">
        <v>0</v>
      </c>
      <c r="X49">
        <v>0</v>
      </c>
      <c r="Y49" s="154">
        <v>0</v>
      </c>
      <c r="Z49" s="153">
        <v>0</v>
      </c>
      <c r="AA49">
        <v>0</v>
      </c>
      <c r="AB49">
        <v>5570</v>
      </c>
      <c r="AC49">
        <v>5570</v>
      </c>
      <c r="AD49">
        <v>0</v>
      </c>
      <c r="AE49">
        <v>0</v>
      </c>
      <c r="AF49">
        <v>0</v>
      </c>
      <c r="AG49">
        <v>1000</v>
      </c>
      <c r="AH49">
        <v>0</v>
      </c>
      <c r="AI49">
        <v>0</v>
      </c>
      <c r="AJ49">
        <v>0</v>
      </c>
      <c r="AK49" s="154">
        <v>0</v>
      </c>
      <c r="AL49" s="153">
        <v>0</v>
      </c>
      <c r="AM49">
        <v>0</v>
      </c>
      <c r="AN49">
        <v>5570</v>
      </c>
      <c r="AO49">
        <v>5570</v>
      </c>
      <c r="AP49">
        <v>0</v>
      </c>
      <c r="AQ49">
        <v>0</v>
      </c>
      <c r="AR49">
        <v>0</v>
      </c>
      <c r="AS49">
        <v>1000</v>
      </c>
      <c r="AT49">
        <v>0</v>
      </c>
      <c r="AU49">
        <v>0</v>
      </c>
      <c r="AV49">
        <v>0</v>
      </c>
      <c r="AW49" s="154">
        <v>0</v>
      </c>
      <c r="AX49" s="153">
        <v>0</v>
      </c>
      <c r="AY49">
        <v>0</v>
      </c>
      <c r="AZ49">
        <v>5570</v>
      </c>
      <c r="BA49">
        <v>5570</v>
      </c>
      <c r="BB49">
        <v>0</v>
      </c>
      <c r="BC49">
        <v>0</v>
      </c>
      <c r="BD49">
        <v>0</v>
      </c>
      <c r="BE49">
        <v>1000</v>
      </c>
      <c r="BF49">
        <v>0</v>
      </c>
      <c r="BG49">
        <v>0</v>
      </c>
      <c r="BH49">
        <v>0</v>
      </c>
      <c r="BI49" s="154">
        <v>0</v>
      </c>
    </row>
    <row r="50" spans="1:61" ht="15" customHeight="1" x14ac:dyDescent="0.35">
      <c r="A50" t="s">
        <v>62</v>
      </c>
      <c r="B50" s="156">
        <f>B60*'Marges Produits'!$E$45</f>
        <v>27962.174999999999</v>
      </c>
      <c r="C50" s="36">
        <f>C60*'Marges Produits'!$E$45</f>
        <v>32622.537499999999</v>
      </c>
      <c r="D50" s="36">
        <f>D60*'Marges Produits'!$E$45</f>
        <v>32622.537499999999</v>
      </c>
      <c r="E50" s="36">
        <f>E60*'Marges Produits'!$E$45</f>
        <v>37282.9</v>
      </c>
      <c r="F50" s="36">
        <f>F60*'Marges Produits'!$E$45</f>
        <v>34486.682500000003</v>
      </c>
      <c r="G50" s="36">
        <f>G60*'Marges Produits'!$E$45</f>
        <v>33554.61</v>
      </c>
      <c r="H50" s="36">
        <f>H60*'Marges Produits'!$E$45</f>
        <v>32622.537499999999</v>
      </c>
      <c r="I50" s="36">
        <f>I60*'Marges Produits'!$E$45</f>
        <v>27962.174999999999</v>
      </c>
      <c r="J50" s="36">
        <f>J60*'Marges Produits'!$E$45</f>
        <v>23301.8125</v>
      </c>
      <c r="K50" s="36">
        <f>K60*'Marges Produits'!$E$45</f>
        <v>13981.0875</v>
      </c>
      <c r="L50" s="36">
        <f>L60*'Marges Produits'!$E$45</f>
        <v>9320.7250000000004</v>
      </c>
      <c r="M50" s="155">
        <f>M60*'Marges Produits'!$E$45</f>
        <v>9320.7250000000004</v>
      </c>
      <c r="N50" s="156">
        <f>N60*'Marges Produits'!$E$45</f>
        <v>55924.35</v>
      </c>
      <c r="O50" s="36">
        <f>O60*'Marges Produits'!$E$45</f>
        <v>55924.35</v>
      </c>
      <c r="P50" s="36">
        <f>P60*'Marges Produits'!$E$45</f>
        <v>65245.074999999997</v>
      </c>
      <c r="Q50" s="36">
        <f>Q60*'Marges Produits'!$E$45</f>
        <v>65245.074999999997</v>
      </c>
      <c r="R50" s="36">
        <f>R60*'Marges Produits'!$E$45</f>
        <v>66177.147500000006</v>
      </c>
      <c r="S50" s="36">
        <f>S60*'Marges Produits'!$E$45</f>
        <v>65245.074999999997</v>
      </c>
      <c r="T50" s="36">
        <f>T60*'Marges Produits'!$E$45</f>
        <v>65245.074999999997</v>
      </c>
      <c r="U50" s="36">
        <f>U60*'Marges Produits'!$E$45</f>
        <v>55924.35</v>
      </c>
      <c r="V50" s="36">
        <f>V60*'Marges Produits'!$E$45</f>
        <v>46603.625</v>
      </c>
      <c r="W50" s="36">
        <f>W60*'Marges Produits'!$E$45</f>
        <v>27962.174999999999</v>
      </c>
      <c r="X50" s="36">
        <f>X60*'Marges Produits'!$E$45</f>
        <v>18641.45</v>
      </c>
      <c r="Y50" s="155">
        <f>Y60*'Marges Produits'!$E$45</f>
        <v>18641.45</v>
      </c>
      <c r="Z50" s="156">
        <f>Z60*'Marges Produits'!$E$45</f>
        <v>83886.524999999994</v>
      </c>
      <c r="AA50" s="36">
        <f>AA60*'Marges Produits'!$E$45</f>
        <v>83886.524999999994</v>
      </c>
      <c r="AB50" s="36">
        <f>AB60*'Marges Produits'!$E$45</f>
        <v>97867.612500000003</v>
      </c>
      <c r="AC50" s="36">
        <f>AC60*'Marges Produits'!$E$45</f>
        <v>97867.612500000003</v>
      </c>
      <c r="AD50" s="36">
        <f>AD60*'Marges Produits'!$E$45</f>
        <v>98799.684999999998</v>
      </c>
      <c r="AE50" s="36">
        <f>AE60*'Marges Produits'!$E$45</f>
        <v>97867.612500000003</v>
      </c>
      <c r="AF50" s="36">
        <f>AF60*'Marges Produits'!$E$45</f>
        <v>97867.612500000003</v>
      </c>
      <c r="AG50" s="36">
        <f>AG60*'Marges Produits'!$E$45</f>
        <v>83886.524999999994</v>
      </c>
      <c r="AH50" s="36">
        <f>AH60*'Marges Produits'!$E$45</f>
        <v>69905.4375</v>
      </c>
      <c r="AI50" s="36">
        <f>AI60*'Marges Produits'!$E$45</f>
        <v>41943.262499999997</v>
      </c>
      <c r="AJ50" s="36">
        <f>AJ60*'Marges Produits'!$E$45</f>
        <v>27962.174999999999</v>
      </c>
      <c r="AK50" s="155">
        <f>AK60*'Marges Produits'!$E$45</f>
        <v>27962.174999999999</v>
      </c>
      <c r="AL50" s="156">
        <f>AL60*'Marges Produits'!$E$45</f>
        <v>55924.35</v>
      </c>
      <c r="AM50" s="36">
        <f>AM60*'Marges Produits'!$E$45</f>
        <v>93207.25</v>
      </c>
      <c r="AN50" s="36">
        <f>AN60*'Marges Produits'!$E$45</f>
        <v>107188.33749999999</v>
      </c>
      <c r="AO50" s="36">
        <f>AO60*'Marges Produits'!$E$45</f>
        <v>109052.4825</v>
      </c>
      <c r="AP50" s="36">
        <f>AP60*'Marges Produits'!$E$45</f>
        <v>116509.0625</v>
      </c>
      <c r="AQ50" s="36">
        <f>AQ60*'Marges Produits'!$E$45</f>
        <v>116509.0625</v>
      </c>
      <c r="AR50" s="36">
        <f>AR60*'Marges Produits'!$E$45</f>
        <v>116509.0625</v>
      </c>
      <c r="AS50" s="36">
        <f>AS60*'Marges Produits'!$E$45</f>
        <v>98799.684999999998</v>
      </c>
      <c r="AT50" s="36">
        <f>AT60*'Marges Produits'!$E$45</f>
        <v>87614.815000000002</v>
      </c>
      <c r="AU50" s="36">
        <f>AU60*'Marges Produits'!$E$45</f>
        <v>52196.06</v>
      </c>
      <c r="AV50" s="36">
        <f>AV60*'Marges Produits'!$E$45</f>
        <v>35418.754999999997</v>
      </c>
      <c r="AW50" s="155">
        <f>AW60*'Marges Produits'!$E$45</f>
        <v>35418.754999999997</v>
      </c>
      <c r="AX50" s="156">
        <f>AX60*'Marges Produits'!$E$45</f>
        <v>46603.625</v>
      </c>
      <c r="AY50" s="36">
        <f>AY60*'Marges Produits'!$E$45</f>
        <v>52196.06</v>
      </c>
      <c r="AZ50" s="36">
        <f>AZ60*'Marges Produits'!$E$45</f>
        <v>75497.872499999998</v>
      </c>
      <c r="BA50" s="36">
        <f>BA60*'Marges Produits'!$E$45</f>
        <v>98799.684999999998</v>
      </c>
      <c r="BB50" s="36">
        <f>BB60*'Marges Produits'!$E$45</f>
        <v>116509.0625</v>
      </c>
      <c r="BC50" s="36">
        <f>BC60*'Marges Produits'!$E$45</f>
        <v>116509.0625</v>
      </c>
      <c r="BD50" s="36">
        <f>BD60*'Marges Produits'!$E$45</f>
        <v>116509.0625</v>
      </c>
      <c r="BE50" s="36">
        <f>BE60*'Marges Produits'!$E$45</f>
        <v>98799.684999999998</v>
      </c>
      <c r="BF50" s="36">
        <f>BF60*'Marges Produits'!$E$45</f>
        <v>87614.815000000002</v>
      </c>
      <c r="BG50" s="36">
        <f>BG60*'Marges Produits'!$E$45</f>
        <v>52196.06</v>
      </c>
      <c r="BH50" s="36">
        <f>BH60*'Marges Produits'!$E$45</f>
        <v>35418.754999999997</v>
      </c>
      <c r="BI50" s="155">
        <f>BI60*'Marges Produits'!$E$45</f>
        <v>35418.754999999997</v>
      </c>
    </row>
    <row r="51" spans="1:61" ht="15" customHeight="1" x14ac:dyDescent="0.35">
      <c r="A51" t="s">
        <v>63</v>
      </c>
      <c r="B51" s="156">
        <f>'Emprunt Bancaire'!$B$27</f>
        <v>4367</v>
      </c>
      <c r="C51" s="36">
        <f>'Emprunt Bancaire'!$B$27</f>
        <v>4367</v>
      </c>
      <c r="D51" s="36">
        <f>'Emprunt Bancaire'!$B$27</f>
        <v>4367</v>
      </c>
      <c r="E51" s="36">
        <f>'Emprunt Bancaire'!$B$27</f>
        <v>4367</v>
      </c>
      <c r="F51" s="36">
        <f>'Emprunt Bancaire'!$B$27</f>
        <v>4367</v>
      </c>
      <c r="G51" s="36">
        <f>'Emprunt Bancaire'!$B$27</f>
        <v>4367</v>
      </c>
      <c r="H51" s="36">
        <f>'Emprunt Bancaire'!$B$27</f>
        <v>4367</v>
      </c>
      <c r="I51" s="36">
        <f>'Emprunt Bancaire'!$B$27</f>
        <v>4367</v>
      </c>
      <c r="J51" s="36">
        <f>'Emprunt Bancaire'!$B$27</f>
        <v>4367</v>
      </c>
      <c r="K51" s="36">
        <f>'Emprunt Bancaire'!$B$27</f>
        <v>4367</v>
      </c>
      <c r="L51" s="36">
        <f>'Emprunt Bancaire'!$B$27</f>
        <v>4367</v>
      </c>
      <c r="M51" s="155">
        <f>'Emprunt Bancaire'!$B$27</f>
        <v>4367</v>
      </c>
      <c r="N51" s="156">
        <f>'Emprunt Bancaire'!$B$27</f>
        <v>4367</v>
      </c>
      <c r="O51" s="36">
        <f>'Emprunt Bancaire'!$B$27</f>
        <v>4367</v>
      </c>
      <c r="P51" s="36">
        <f>'Emprunt Bancaire'!$B$27</f>
        <v>4367</v>
      </c>
      <c r="Q51" s="36">
        <f>'Emprunt Bancaire'!$B$27</f>
        <v>4367</v>
      </c>
      <c r="R51" s="36">
        <f>'Emprunt Bancaire'!$B$27</f>
        <v>4367</v>
      </c>
      <c r="S51" s="36">
        <f>'Emprunt Bancaire'!$B$27</f>
        <v>4367</v>
      </c>
      <c r="T51" s="36">
        <f>'Emprunt Bancaire'!$B$27</f>
        <v>4367</v>
      </c>
      <c r="U51" s="36">
        <f>'Emprunt Bancaire'!$B$27</f>
        <v>4367</v>
      </c>
      <c r="V51" s="36">
        <f>'Emprunt Bancaire'!$B$27</f>
        <v>4367</v>
      </c>
      <c r="W51" s="36">
        <f>'Emprunt Bancaire'!$B$27</f>
        <v>4367</v>
      </c>
      <c r="X51" s="36">
        <f>'Emprunt Bancaire'!$B$27</f>
        <v>4367</v>
      </c>
      <c r="Y51" s="155">
        <f>'Emprunt Bancaire'!$B$27</f>
        <v>4367</v>
      </c>
      <c r="Z51" s="156">
        <f>'Emprunt Bancaire'!$B$27</f>
        <v>4367</v>
      </c>
      <c r="AA51" s="36">
        <f>'Emprunt Bancaire'!$B$27</f>
        <v>4367</v>
      </c>
      <c r="AB51" s="36">
        <f>'Emprunt Bancaire'!$B$27</f>
        <v>4367</v>
      </c>
      <c r="AC51" s="36">
        <f>'Emprunt Bancaire'!$B$27</f>
        <v>4367</v>
      </c>
      <c r="AD51" s="36">
        <f>'Emprunt Bancaire'!$B$27</f>
        <v>4367</v>
      </c>
      <c r="AE51" s="36">
        <f>'Emprunt Bancaire'!$B$27</f>
        <v>4367</v>
      </c>
      <c r="AF51" s="36">
        <f>'Emprunt Bancaire'!$B$27</f>
        <v>4367</v>
      </c>
      <c r="AG51" s="36">
        <f>'Emprunt Bancaire'!$B$27</f>
        <v>4367</v>
      </c>
      <c r="AH51" s="36">
        <f>'Emprunt Bancaire'!$B$27</f>
        <v>4367</v>
      </c>
      <c r="AI51" s="36">
        <f>'Emprunt Bancaire'!$B$27</f>
        <v>4367</v>
      </c>
      <c r="AJ51" s="36">
        <f>'Emprunt Bancaire'!$B$27</f>
        <v>4367</v>
      </c>
      <c r="AK51" s="155">
        <f>'Emprunt Bancaire'!$B$27</f>
        <v>4367</v>
      </c>
      <c r="AL51" s="156">
        <f>'Emprunt Bancaire'!$B$27</f>
        <v>4367</v>
      </c>
      <c r="AM51" s="36">
        <f>'Emprunt Bancaire'!$B$27</f>
        <v>4367</v>
      </c>
      <c r="AN51" s="36">
        <f>'Emprunt Bancaire'!$B$27</f>
        <v>4367</v>
      </c>
      <c r="AO51" s="36">
        <f>'Emprunt Bancaire'!$B$27</f>
        <v>4367</v>
      </c>
      <c r="AP51" s="36">
        <f>'Emprunt Bancaire'!$B$27</f>
        <v>4367</v>
      </c>
      <c r="AQ51" s="36">
        <f>'Emprunt Bancaire'!$B$27</f>
        <v>4367</v>
      </c>
      <c r="AR51" s="36">
        <f>'Emprunt Bancaire'!$B$27</f>
        <v>4367</v>
      </c>
      <c r="AS51" s="36">
        <f>'Emprunt Bancaire'!$B$27</f>
        <v>4367</v>
      </c>
      <c r="AT51" s="36">
        <f>'Emprunt Bancaire'!$B$27</f>
        <v>4367</v>
      </c>
      <c r="AU51" s="36">
        <f>'Emprunt Bancaire'!$B$27</f>
        <v>4367</v>
      </c>
      <c r="AV51" s="36">
        <f>'Emprunt Bancaire'!$B$27</f>
        <v>4367</v>
      </c>
      <c r="AW51" s="155">
        <f>'Emprunt Bancaire'!$B$27</f>
        <v>4367</v>
      </c>
      <c r="AX51" s="156">
        <f>'Emprunt Bancaire'!$B$27</f>
        <v>4367</v>
      </c>
      <c r="AY51" s="36">
        <f>'Emprunt Bancaire'!$B$27</f>
        <v>4367</v>
      </c>
      <c r="AZ51" s="36">
        <f>'Emprunt Bancaire'!$B$27</f>
        <v>4367</v>
      </c>
      <c r="BA51" s="36">
        <f>'Emprunt Bancaire'!$B$27</f>
        <v>4367</v>
      </c>
      <c r="BB51" s="36">
        <f>'Emprunt Bancaire'!$B$27</f>
        <v>4367</v>
      </c>
      <c r="BC51" s="36">
        <f>'Emprunt Bancaire'!$B$27</f>
        <v>4367</v>
      </c>
      <c r="BD51" s="36">
        <f>'Emprunt Bancaire'!$B$27</f>
        <v>4367</v>
      </c>
      <c r="BE51" s="36">
        <f>'Emprunt Bancaire'!$B$27</f>
        <v>4367</v>
      </c>
      <c r="BF51" s="36">
        <f>'Emprunt Bancaire'!$B$27</f>
        <v>4367</v>
      </c>
      <c r="BG51" s="36">
        <f>'Emprunt Bancaire'!$B$27</f>
        <v>4367</v>
      </c>
      <c r="BH51" s="36">
        <f>'Emprunt Bancaire'!$B$27</f>
        <v>4367</v>
      </c>
      <c r="BI51" s="155">
        <f>'Emprunt Bancaire'!$B$27</f>
        <v>4367</v>
      </c>
    </row>
    <row r="52" spans="1:61" ht="15" customHeight="1" x14ac:dyDescent="0.35">
      <c r="A52" t="s">
        <v>64</v>
      </c>
      <c r="B52" s="156">
        <f t="shared" ref="B52:M52" si="50">B41*0.008</f>
        <v>99.466660000000005</v>
      </c>
      <c r="C52" s="36">
        <f t="shared" si="50"/>
        <v>198.93332000000001</v>
      </c>
      <c r="D52" s="36">
        <f t="shared" si="50"/>
        <v>298.39998000000003</v>
      </c>
      <c r="E52" s="36">
        <f t="shared" si="50"/>
        <v>497.33330000000007</v>
      </c>
      <c r="F52" s="36">
        <f t="shared" si="50"/>
        <v>696.2666200000001</v>
      </c>
      <c r="G52" s="36">
        <f t="shared" si="50"/>
        <v>696.2666200000001</v>
      </c>
      <c r="H52" s="36">
        <f t="shared" si="50"/>
        <v>696.2666200000001</v>
      </c>
      <c r="I52" s="36">
        <f t="shared" si="50"/>
        <v>596.79996000000006</v>
      </c>
      <c r="J52" s="36">
        <f t="shared" si="50"/>
        <v>497.33330000000007</v>
      </c>
      <c r="K52" s="36">
        <f t="shared" si="50"/>
        <v>298.39998000000003</v>
      </c>
      <c r="L52" s="36">
        <f t="shared" si="50"/>
        <v>198.93332000000001</v>
      </c>
      <c r="M52" s="155">
        <f t="shared" si="50"/>
        <v>198.93332000000001</v>
      </c>
      <c r="N52" s="156">
        <f t="shared" ref="N52:BI52" si="51">N41*0.008</f>
        <v>298.39998000000003</v>
      </c>
      <c r="O52" s="36">
        <f t="shared" si="51"/>
        <v>596.79996000000006</v>
      </c>
      <c r="P52" s="36">
        <f t="shared" si="51"/>
        <v>994.66660000000013</v>
      </c>
      <c r="Q52" s="36">
        <f t="shared" si="51"/>
        <v>1193.5999200000001</v>
      </c>
      <c r="R52" s="36">
        <f t="shared" si="51"/>
        <v>1392.5332400000002</v>
      </c>
      <c r="S52" s="36">
        <f t="shared" si="51"/>
        <v>1392.5332400000002</v>
      </c>
      <c r="T52" s="36">
        <f t="shared" si="51"/>
        <v>1392.5332400000002</v>
      </c>
      <c r="U52" s="36">
        <f t="shared" si="51"/>
        <v>1293.0665800000002</v>
      </c>
      <c r="V52" s="36">
        <f t="shared" si="51"/>
        <v>994.66660000000013</v>
      </c>
      <c r="W52" s="36">
        <f t="shared" si="51"/>
        <v>596.79996000000006</v>
      </c>
      <c r="X52" s="36">
        <f t="shared" si="51"/>
        <v>397.86664000000002</v>
      </c>
      <c r="Y52" s="155">
        <f t="shared" si="51"/>
        <v>397.86664000000002</v>
      </c>
      <c r="Z52" s="156">
        <f t="shared" si="51"/>
        <v>795.73328000000004</v>
      </c>
      <c r="AA52" s="36">
        <f t="shared" si="51"/>
        <v>895.19994000000008</v>
      </c>
      <c r="AB52" s="36">
        <f t="shared" si="51"/>
        <v>1293.0665800000002</v>
      </c>
      <c r="AC52" s="36">
        <f t="shared" si="51"/>
        <v>1690.9332200000003</v>
      </c>
      <c r="AD52" s="36">
        <f t="shared" si="51"/>
        <v>1989.3332000000003</v>
      </c>
      <c r="AE52" s="36">
        <f t="shared" si="51"/>
        <v>1989.3332000000003</v>
      </c>
      <c r="AF52" s="36">
        <f t="shared" si="51"/>
        <v>1989.3332000000003</v>
      </c>
      <c r="AG52" s="36">
        <f t="shared" si="51"/>
        <v>1690.9332200000003</v>
      </c>
      <c r="AH52" s="36">
        <f t="shared" si="51"/>
        <v>1491.9999000000003</v>
      </c>
      <c r="AI52" s="36">
        <f t="shared" si="51"/>
        <v>895.19994000000008</v>
      </c>
      <c r="AJ52" s="36">
        <f t="shared" si="51"/>
        <v>596.79996000000006</v>
      </c>
      <c r="AK52" s="155">
        <f t="shared" si="51"/>
        <v>596.79996000000006</v>
      </c>
      <c r="AL52" s="156">
        <f t="shared" si="51"/>
        <v>994.66660000000013</v>
      </c>
      <c r="AM52" s="36">
        <f t="shared" si="51"/>
        <v>1114.0265920000002</v>
      </c>
      <c r="AN52" s="36">
        <f t="shared" si="51"/>
        <v>1611.3598920000002</v>
      </c>
      <c r="AO52" s="36">
        <f t="shared" si="51"/>
        <v>2108.6931920000002</v>
      </c>
      <c r="AP52" s="36">
        <f t="shared" si="51"/>
        <v>2486.6665000000007</v>
      </c>
      <c r="AQ52" s="36">
        <f t="shared" si="51"/>
        <v>2486.6665000000007</v>
      </c>
      <c r="AR52" s="36">
        <f t="shared" si="51"/>
        <v>2486.6665000000007</v>
      </c>
      <c r="AS52" s="36">
        <f t="shared" si="51"/>
        <v>2108.6931920000002</v>
      </c>
      <c r="AT52" s="36">
        <f t="shared" si="51"/>
        <v>1869.9732080000001</v>
      </c>
      <c r="AU52" s="36">
        <f t="shared" si="51"/>
        <v>1114.0265920000002</v>
      </c>
      <c r="AV52" s="36">
        <f t="shared" si="51"/>
        <v>755.94661600000006</v>
      </c>
      <c r="AW52" s="155">
        <f t="shared" si="51"/>
        <v>755.94661600000006</v>
      </c>
      <c r="AX52" s="156">
        <f t="shared" si="51"/>
        <v>1044.3999300000003</v>
      </c>
      <c r="AY52" s="36">
        <f t="shared" si="51"/>
        <v>1169.7279216000002</v>
      </c>
      <c r="AZ52" s="36">
        <f t="shared" si="51"/>
        <v>1691.9278866000004</v>
      </c>
      <c r="BA52" s="36">
        <f t="shared" si="51"/>
        <v>2214.1278516000002</v>
      </c>
      <c r="BB52" s="36">
        <f t="shared" si="51"/>
        <v>2610.9998250000003</v>
      </c>
      <c r="BC52" s="36">
        <f t="shared" si="51"/>
        <v>2610.9998250000003</v>
      </c>
      <c r="BD52" s="36">
        <f t="shared" si="51"/>
        <v>2610.9998250000003</v>
      </c>
      <c r="BE52" s="36">
        <f t="shared" si="51"/>
        <v>2214.1278516000002</v>
      </c>
      <c r="BF52" s="36">
        <f t="shared" si="51"/>
        <v>1963.4718684000004</v>
      </c>
      <c r="BG52" s="36">
        <f t="shared" si="51"/>
        <v>1169.7279216000002</v>
      </c>
      <c r="BH52" s="36">
        <f t="shared" si="51"/>
        <v>793.74394680000012</v>
      </c>
      <c r="BI52" s="155">
        <f t="shared" si="51"/>
        <v>793.74394680000012</v>
      </c>
    </row>
    <row r="53" spans="1:61" x14ac:dyDescent="0.35">
      <c r="A53" t="s">
        <v>415</v>
      </c>
      <c r="B53" s="157">
        <f>(SUM(B45:B52)*0.15)</f>
        <v>6969.7173489999996</v>
      </c>
      <c r="C53" s="143">
        <f t="shared" ref="C53:N53" si="52">(SUM(C45:C52)*0.15)</f>
        <v>7683.691722999999</v>
      </c>
      <c r="D53" s="143">
        <f t="shared" si="52"/>
        <v>9205.2039220000006</v>
      </c>
      <c r="E53" s="143">
        <f t="shared" si="52"/>
        <v>9934.0982949999998</v>
      </c>
      <c r="F53" s="143">
        <f t="shared" si="52"/>
        <v>8037.9134680000006</v>
      </c>
      <c r="G53" s="143">
        <f t="shared" si="52"/>
        <v>7898.1025929999996</v>
      </c>
      <c r="H53" s="143">
        <f t="shared" si="52"/>
        <v>7758.2917179999995</v>
      </c>
      <c r="I53" s="143">
        <f t="shared" si="52"/>
        <v>7865.4095439999992</v>
      </c>
      <c r="J53" s="143">
        <f t="shared" si="52"/>
        <v>6330.3429699999997</v>
      </c>
      <c r="K53" s="143">
        <f t="shared" si="52"/>
        <v>4902.3942219999999</v>
      </c>
      <c r="L53" s="143">
        <f t="shared" si="52"/>
        <v>4188.4198480000005</v>
      </c>
      <c r="M53" s="158">
        <f t="shared" si="52"/>
        <v>4188.4198480000005</v>
      </c>
      <c r="N53" s="157">
        <f t="shared" si="52"/>
        <v>11193.883597</v>
      </c>
      <c r="O53" s="143">
        <f t="shared" ref="O53" si="53">(SUM(O45:O52)*0.15)</f>
        <v>11238.643593999999</v>
      </c>
      <c r="P53" s="143">
        <f t="shared" ref="P53" si="54">(SUM(P45:P52)*0.15)</f>
        <v>14203.024539999999</v>
      </c>
      <c r="Q53" s="143">
        <f t="shared" ref="Q53" si="55">(SUM(Q45:Q52)*0.15)</f>
        <v>14232.864537999998</v>
      </c>
      <c r="R53" s="143">
        <f t="shared" ref="R53" si="56">(SUM(R45:R52)*0.15)</f>
        <v>12895.923211000003</v>
      </c>
      <c r="S53" s="143">
        <f t="shared" ref="S53" si="57">(SUM(S45:S52)*0.15)</f>
        <v>12756.112336</v>
      </c>
      <c r="T53" s="143">
        <f t="shared" ref="T53" si="58">(SUM(T45:T52)*0.15)</f>
        <v>12756.112336</v>
      </c>
      <c r="U53" s="143">
        <f t="shared" ref="U53" si="59">(SUM(U45:U52)*0.15)</f>
        <v>12164.175787</v>
      </c>
      <c r="V53" s="143">
        <f t="shared" ref="V53" si="60">(SUM(V45:V52)*0.15)</f>
        <v>9900.2148400000005</v>
      </c>
      <c r="W53" s="143">
        <f t="shared" ref="W53" si="61">(SUM(W45:W52)*0.15)</f>
        <v>7044.317344</v>
      </c>
      <c r="X53" s="143">
        <f t="shared" ref="X53" si="62">(SUM(X45:X52)*0.15)</f>
        <v>5616.3685960000003</v>
      </c>
      <c r="Y53" s="158">
        <f t="shared" ref="Y53:Z53" si="63">(SUM(Y45:Y52)*0.15)</f>
        <v>5616.3685960000003</v>
      </c>
      <c r="Z53" s="157">
        <f t="shared" si="63"/>
        <v>15462.809841999999</v>
      </c>
      <c r="AA53" s="143">
        <f t="shared" ref="AA53" si="64">(SUM(AA45:AA52)*0.15)</f>
        <v>15477.729841</v>
      </c>
      <c r="AB53" s="143">
        <f t="shared" ref="AB53" si="65">(SUM(AB45:AB52)*0.15)</f>
        <v>19141.165161999998</v>
      </c>
      <c r="AC53" s="143">
        <f t="shared" ref="AC53" si="66">(SUM(AC45:AC52)*0.15)</f>
        <v>19200.845158</v>
      </c>
      <c r="AD53" s="143">
        <f t="shared" ref="AD53" si="67">(SUM(AD45:AD52)*0.15)</f>
        <v>17878.823829999998</v>
      </c>
      <c r="AE53" s="143">
        <f t="shared" ref="AE53" si="68">(SUM(AE45:AE52)*0.15)</f>
        <v>17739.012954999998</v>
      </c>
      <c r="AF53" s="143">
        <f t="shared" ref="AF53" si="69">(SUM(AF45:AF52)*0.15)</f>
        <v>17739.012954999998</v>
      </c>
      <c r="AG53" s="143">
        <f t="shared" ref="AG53" si="70">(SUM(AG45:AG52)*0.15)</f>
        <v>16418.182032999997</v>
      </c>
      <c r="AH53" s="143">
        <f t="shared" ref="AH53" si="71">(SUM(AH45:AH52)*0.15)</f>
        <v>13470.08671</v>
      </c>
      <c r="AI53" s="143">
        <f t="shared" ref="AI53" si="72">(SUM(AI45:AI52)*0.15)</f>
        <v>9186.2404659999993</v>
      </c>
      <c r="AJ53" s="143">
        <f t="shared" ref="AJ53" si="73">(SUM(AJ45:AJ52)*0.15)</f>
        <v>7044.317344</v>
      </c>
      <c r="AK53" s="158">
        <f t="shared" ref="AK53:AL53" si="74">(SUM(AK45:AK52)*0.15)</f>
        <v>7044.317344</v>
      </c>
      <c r="AL53" s="157">
        <f t="shared" si="74"/>
        <v>11298.323589999998</v>
      </c>
      <c r="AM53" s="143">
        <f t="shared" ref="AM53" si="75">(SUM(AM45:AM52)*0.15)</f>
        <v>16908.662588799998</v>
      </c>
      <c r="AN53" s="143">
        <f t="shared" ref="AN53" si="76">(SUM(AN45:AN52)*0.15)</f>
        <v>20587.0179088</v>
      </c>
      <c r="AO53" s="143">
        <f t="shared" ref="AO53" si="77">(SUM(AO45:AO52)*0.15)</f>
        <v>20941.239653799999</v>
      </c>
      <c r="AP53" s="143">
        <f t="shared" ref="AP53" si="78">(SUM(AP45:AP52)*0.15)</f>
        <v>20609.830449999998</v>
      </c>
      <c r="AQ53" s="143">
        <f t="shared" ref="AQ53" si="79">(SUM(AQ45:AQ52)*0.15)</f>
        <v>20609.830449999998</v>
      </c>
      <c r="AR53" s="143">
        <f t="shared" ref="AR53" si="80">(SUM(AR45:AR52)*0.15)</f>
        <v>20609.830449999998</v>
      </c>
      <c r="AS53" s="143">
        <f t="shared" ref="AS53" si="81">(SUM(AS45:AS52)*0.15)</f>
        <v>18717.820028800001</v>
      </c>
      <c r="AT53" s="143">
        <f t="shared" ref="AT53" si="82">(SUM(AT45:AT52)*0.15)</f>
        <v>16183.189331199999</v>
      </c>
      <c r="AU53" s="143">
        <f t="shared" ref="AU53" si="83">(SUM(AU45:AU52)*0.15)</f>
        <v>10756.9840888</v>
      </c>
      <c r="AV53" s="143">
        <f t="shared" ref="AV53" si="84">(SUM(AV45:AV52)*0.15)</f>
        <v>8186.6763423999992</v>
      </c>
      <c r="AW53" s="158">
        <f t="shared" ref="AW53:AX53" si="85">(SUM(AW45:AW52)*0.15)</f>
        <v>8186.6763423999992</v>
      </c>
      <c r="AX53" s="157">
        <f t="shared" si="85"/>
        <v>9907.6748395000013</v>
      </c>
      <c r="AY53" s="143">
        <f t="shared" ref="AY53" si="86">(SUM(AY45:AY52)*0.15)</f>
        <v>10765.33928824</v>
      </c>
      <c r="AZ53" s="143">
        <f t="shared" ref="AZ53" si="87">(SUM(AZ45:AZ52)*0.15)</f>
        <v>15845.533357989998</v>
      </c>
      <c r="BA53" s="143">
        <f t="shared" ref="BA53" si="88">(SUM(BA45:BA52)*0.15)</f>
        <v>19419.13522774</v>
      </c>
      <c r="BB53" s="143">
        <f t="shared" ref="BB53" si="89">(SUM(BB45:BB52)*0.15)</f>
        <v>20628.480448750001</v>
      </c>
      <c r="BC53" s="143">
        <f t="shared" ref="BC53" si="90">(SUM(BC45:BC52)*0.15)</f>
        <v>20628.480448750001</v>
      </c>
      <c r="BD53" s="143">
        <f t="shared" ref="BD53" si="91">(SUM(BD45:BD52)*0.15)</f>
        <v>20628.480448750001</v>
      </c>
      <c r="BE53" s="143">
        <f t="shared" ref="BE53" si="92">(SUM(BE45:BE52)*0.15)</f>
        <v>18733.63522774</v>
      </c>
      <c r="BF53" s="143">
        <f t="shared" ref="BF53" si="93">(SUM(BF45:BF52)*0.15)</f>
        <v>16197.214130259999</v>
      </c>
      <c r="BG53" s="143">
        <f t="shared" ref="BG53" si="94">(SUM(BG45:BG52)*0.15)</f>
        <v>10765.33928824</v>
      </c>
      <c r="BH53" s="143">
        <f t="shared" ref="BH53" si="95">(SUM(BH45:BH52)*0.15)</f>
        <v>8192.3459420199997</v>
      </c>
      <c r="BI53" s="158">
        <f t="shared" ref="BI53" si="96">(SUM(BI45:BI52)*0.15)</f>
        <v>8192.3459420199997</v>
      </c>
    </row>
    <row r="54" spans="1:61" ht="15" customHeight="1" x14ac:dyDescent="0.35">
      <c r="A54" s="30" t="s">
        <v>65</v>
      </c>
      <c r="B54" s="156">
        <f t="shared" ref="B54:AG54" si="97">SUM(B45:B53)</f>
        <v>53434.499675666666</v>
      </c>
      <c r="C54" s="36">
        <f t="shared" si="97"/>
        <v>58908.303209666657</v>
      </c>
      <c r="D54" s="36">
        <f t="shared" si="97"/>
        <v>70573.230068666671</v>
      </c>
      <c r="E54" s="36">
        <f t="shared" si="97"/>
        <v>76161.420261666673</v>
      </c>
      <c r="F54" s="36">
        <f t="shared" si="97"/>
        <v>61624.00325466667</v>
      </c>
      <c r="G54" s="36">
        <f t="shared" si="97"/>
        <v>60552.119879666672</v>
      </c>
      <c r="H54" s="36">
        <f t="shared" si="97"/>
        <v>59480.236504666667</v>
      </c>
      <c r="I54" s="36">
        <f t="shared" si="97"/>
        <v>60301.473170666664</v>
      </c>
      <c r="J54" s="36">
        <f t="shared" si="97"/>
        <v>48532.629436666663</v>
      </c>
      <c r="K54" s="36">
        <f t="shared" si="97"/>
        <v>37585.022368666665</v>
      </c>
      <c r="L54" s="36">
        <f t="shared" si="97"/>
        <v>32111.21883466667</v>
      </c>
      <c r="M54" s="155">
        <f t="shared" si="97"/>
        <v>32111.21883466667</v>
      </c>
      <c r="N54" s="156">
        <f t="shared" si="97"/>
        <v>85819.774243666674</v>
      </c>
      <c r="O54" s="36">
        <f t="shared" si="97"/>
        <v>86162.934220666662</v>
      </c>
      <c r="P54" s="36">
        <f t="shared" si="97"/>
        <v>108889.85480666666</v>
      </c>
      <c r="Q54" s="36">
        <f t="shared" si="97"/>
        <v>109118.62812466665</v>
      </c>
      <c r="R54" s="36">
        <f t="shared" si="97"/>
        <v>98868.744617666685</v>
      </c>
      <c r="S54" s="36">
        <f t="shared" si="97"/>
        <v>97796.86124266668</v>
      </c>
      <c r="T54" s="36">
        <f t="shared" si="97"/>
        <v>97796.86124266668</v>
      </c>
      <c r="U54" s="36">
        <f t="shared" si="97"/>
        <v>93258.681033666668</v>
      </c>
      <c r="V54" s="36">
        <f t="shared" si="97"/>
        <v>75901.647106666671</v>
      </c>
      <c r="W54" s="36">
        <f t="shared" si="97"/>
        <v>54006.432970666669</v>
      </c>
      <c r="X54" s="36">
        <f t="shared" si="97"/>
        <v>43058.825902666671</v>
      </c>
      <c r="Y54" s="155">
        <f t="shared" si="97"/>
        <v>43058.825902666671</v>
      </c>
      <c r="Z54" s="156">
        <f t="shared" si="97"/>
        <v>118548.20878866667</v>
      </c>
      <c r="AA54" s="36">
        <f t="shared" si="97"/>
        <v>118662.59544766668</v>
      </c>
      <c r="AB54" s="36">
        <f t="shared" si="97"/>
        <v>146748.93290866667</v>
      </c>
      <c r="AC54" s="36">
        <f t="shared" si="97"/>
        <v>147206.47954466668</v>
      </c>
      <c r="AD54" s="36">
        <f t="shared" si="97"/>
        <v>137070.98269666667</v>
      </c>
      <c r="AE54" s="36">
        <f t="shared" si="97"/>
        <v>135999.09932166667</v>
      </c>
      <c r="AF54" s="36">
        <f t="shared" si="97"/>
        <v>135999.09932166667</v>
      </c>
      <c r="AG54" s="36">
        <f t="shared" si="97"/>
        <v>125872.72891966667</v>
      </c>
      <c r="AH54" s="36">
        <f t="shared" ref="AH54:BM54" si="98">SUM(AH45:AH53)</f>
        <v>103270.66477666667</v>
      </c>
      <c r="AI54" s="36">
        <f t="shared" si="98"/>
        <v>70427.843572666665</v>
      </c>
      <c r="AJ54" s="36">
        <f t="shared" si="98"/>
        <v>54006.432970666669</v>
      </c>
      <c r="AK54" s="155">
        <f t="shared" si="98"/>
        <v>54006.432970666669</v>
      </c>
      <c r="AL54" s="156">
        <f t="shared" si="98"/>
        <v>86620.480856666662</v>
      </c>
      <c r="AM54" s="36">
        <f t="shared" si="98"/>
        <v>129633.07984746667</v>
      </c>
      <c r="AN54" s="36">
        <f t="shared" si="98"/>
        <v>157833.80396746669</v>
      </c>
      <c r="AO54" s="36">
        <f t="shared" si="98"/>
        <v>160549.50401246667</v>
      </c>
      <c r="AP54" s="36">
        <f t="shared" si="98"/>
        <v>158008.70011666667</v>
      </c>
      <c r="AQ54" s="36">
        <f t="shared" si="98"/>
        <v>158008.70011666667</v>
      </c>
      <c r="AR54" s="36">
        <f t="shared" si="98"/>
        <v>158008.70011666667</v>
      </c>
      <c r="AS54" s="36">
        <f t="shared" si="98"/>
        <v>143503.28688746667</v>
      </c>
      <c r="AT54" s="36">
        <f t="shared" si="98"/>
        <v>124071.11820586667</v>
      </c>
      <c r="AU54" s="36">
        <f t="shared" si="98"/>
        <v>82470.211347466669</v>
      </c>
      <c r="AV54" s="36">
        <f t="shared" si="98"/>
        <v>62764.518625066667</v>
      </c>
      <c r="AW54" s="155">
        <f t="shared" si="98"/>
        <v>62764.518625066667</v>
      </c>
      <c r="AX54" s="156">
        <f t="shared" si="98"/>
        <v>75958.840436166676</v>
      </c>
      <c r="AY54" s="36">
        <f t="shared" si="98"/>
        <v>82534.267876506667</v>
      </c>
      <c r="AZ54" s="36">
        <f t="shared" si="98"/>
        <v>121482.42241125666</v>
      </c>
      <c r="BA54" s="36">
        <f t="shared" si="98"/>
        <v>148880.03674600666</v>
      </c>
      <c r="BB54" s="36">
        <f t="shared" si="98"/>
        <v>158151.68344041667</v>
      </c>
      <c r="BC54" s="36">
        <f t="shared" si="98"/>
        <v>158151.68344041667</v>
      </c>
      <c r="BD54" s="36">
        <f t="shared" si="98"/>
        <v>158151.68344041667</v>
      </c>
      <c r="BE54" s="36">
        <f t="shared" si="98"/>
        <v>143624.53674600666</v>
      </c>
      <c r="BF54" s="36">
        <f t="shared" si="98"/>
        <v>124178.64166532666</v>
      </c>
      <c r="BG54" s="36">
        <f t="shared" si="98"/>
        <v>82534.267876506667</v>
      </c>
      <c r="BH54" s="36">
        <f t="shared" si="98"/>
        <v>62807.985555486666</v>
      </c>
      <c r="BI54" s="155">
        <f t="shared" si="98"/>
        <v>62807.985555486666</v>
      </c>
    </row>
    <row r="55" spans="1:61" x14ac:dyDescent="0.35">
      <c r="B55" s="153"/>
      <c r="M55" s="154"/>
      <c r="N55" s="153"/>
      <c r="Y55" s="154"/>
      <c r="Z55" s="153"/>
      <c r="AK55" s="154"/>
      <c r="AL55" s="153"/>
      <c r="AW55" s="154"/>
      <c r="AX55" s="153"/>
      <c r="BI55" s="154"/>
    </row>
    <row r="56" spans="1:61" ht="15" customHeight="1" x14ac:dyDescent="0.35">
      <c r="A56" s="30" t="s">
        <v>66</v>
      </c>
      <c r="B56" s="156">
        <f t="shared" ref="B56:AG56" si="99">B42-B54</f>
        <v>-41001.167175666662</v>
      </c>
      <c r="C56" s="36">
        <f t="shared" si="99"/>
        <v>-34041.638209666657</v>
      </c>
      <c r="D56" s="36">
        <f t="shared" si="99"/>
        <v>16726.767431333326</v>
      </c>
      <c r="E56" s="36">
        <f t="shared" si="99"/>
        <v>-13994.757761666668</v>
      </c>
      <c r="F56" s="36">
        <f t="shared" si="99"/>
        <v>25409.324245333344</v>
      </c>
      <c r="G56" s="36">
        <f t="shared" si="99"/>
        <v>26481.207620333342</v>
      </c>
      <c r="H56" s="36">
        <f t="shared" si="99"/>
        <v>27553.090995333347</v>
      </c>
      <c r="I56" s="36">
        <f t="shared" si="99"/>
        <v>14298.521829333346</v>
      </c>
      <c r="J56" s="36">
        <f t="shared" si="99"/>
        <v>13634.033063333343</v>
      </c>
      <c r="K56" s="36">
        <f t="shared" si="99"/>
        <v>-285.02486866666004</v>
      </c>
      <c r="L56" s="36">
        <f t="shared" si="99"/>
        <v>-7244.553834666669</v>
      </c>
      <c r="M56" s="155">
        <f t="shared" si="99"/>
        <v>-7244.553834666669</v>
      </c>
      <c r="N56" s="156">
        <f t="shared" si="99"/>
        <v>-48519.776743666669</v>
      </c>
      <c r="O56" s="36">
        <f t="shared" si="99"/>
        <v>-11562.939220666653</v>
      </c>
      <c r="P56" s="36">
        <f t="shared" si="99"/>
        <v>15443.470193333356</v>
      </c>
      <c r="Q56" s="36">
        <f t="shared" si="99"/>
        <v>40081.361875333372</v>
      </c>
      <c r="R56" s="36">
        <f t="shared" si="99"/>
        <v>75197.910382333343</v>
      </c>
      <c r="S56" s="36">
        <f t="shared" si="99"/>
        <v>76269.793757333347</v>
      </c>
      <c r="T56" s="36">
        <f t="shared" si="99"/>
        <v>76269.793757333347</v>
      </c>
      <c r="U56" s="36">
        <f t="shared" si="99"/>
        <v>68374.641466333342</v>
      </c>
      <c r="V56" s="36">
        <f t="shared" si="99"/>
        <v>48431.677893333341</v>
      </c>
      <c r="W56" s="36">
        <f t="shared" si="99"/>
        <v>20593.562029333341</v>
      </c>
      <c r="X56" s="36">
        <f t="shared" si="99"/>
        <v>6674.5040973333307</v>
      </c>
      <c r="Y56" s="155">
        <f t="shared" si="99"/>
        <v>6674.5040973333307</v>
      </c>
      <c r="Z56" s="156">
        <f t="shared" si="99"/>
        <v>-19081.548788666667</v>
      </c>
      <c r="AA56" s="36">
        <f t="shared" si="99"/>
        <v>-6762.6029476666736</v>
      </c>
      <c r="AB56" s="36">
        <f t="shared" si="99"/>
        <v>14884.38959133334</v>
      </c>
      <c r="AC56" s="36">
        <f t="shared" si="99"/>
        <v>64160.172955333343</v>
      </c>
      <c r="AD56" s="36">
        <f t="shared" si="99"/>
        <v>111595.66730333335</v>
      </c>
      <c r="AE56" s="36">
        <f t="shared" si="99"/>
        <v>112667.55067833335</v>
      </c>
      <c r="AF56" s="36">
        <f t="shared" si="99"/>
        <v>112667.55067833335</v>
      </c>
      <c r="AG56" s="36">
        <f t="shared" si="99"/>
        <v>85493.923580333358</v>
      </c>
      <c r="AH56" s="36">
        <f t="shared" ref="AH56:BI56" si="100">AH42-AH54</f>
        <v>83229.322723333345</v>
      </c>
      <c r="AI56" s="36">
        <f t="shared" si="100"/>
        <v>41472.148927333343</v>
      </c>
      <c r="AJ56" s="36">
        <f t="shared" si="100"/>
        <v>20593.562029333341</v>
      </c>
      <c r="AK56" s="155">
        <f t="shared" si="100"/>
        <v>20593.562029333341</v>
      </c>
      <c r="AL56" s="156">
        <f t="shared" si="100"/>
        <v>37712.84414333335</v>
      </c>
      <c r="AM56" s="36">
        <f t="shared" si="100"/>
        <v>9620.2441525333561</v>
      </c>
      <c r="AN56" s="36">
        <f t="shared" si="100"/>
        <v>43586.182532533334</v>
      </c>
      <c r="AO56" s="36">
        <f t="shared" si="100"/>
        <v>103037.14498753336</v>
      </c>
      <c r="AP56" s="36">
        <f t="shared" si="100"/>
        <v>152824.61238333338</v>
      </c>
      <c r="AQ56" s="36">
        <f t="shared" si="100"/>
        <v>152824.61238333338</v>
      </c>
      <c r="AR56" s="36">
        <f t="shared" si="100"/>
        <v>152824.61238333338</v>
      </c>
      <c r="AS56" s="36">
        <f t="shared" si="100"/>
        <v>120083.36211253336</v>
      </c>
      <c r="AT56" s="36">
        <f t="shared" si="100"/>
        <v>109675.53279413334</v>
      </c>
      <c r="AU56" s="36">
        <f t="shared" si="100"/>
        <v>56783.112652533353</v>
      </c>
      <c r="AV56" s="36">
        <f t="shared" si="100"/>
        <v>31728.808374933338</v>
      </c>
      <c r="AW56" s="155">
        <f t="shared" si="100"/>
        <v>31728.808374933338</v>
      </c>
      <c r="AX56" s="156">
        <f t="shared" si="100"/>
        <v>54591.150813833345</v>
      </c>
      <c r="AY56" s="36">
        <f t="shared" si="100"/>
        <v>63681.722323493363</v>
      </c>
      <c r="AZ56" s="36">
        <f t="shared" si="100"/>
        <v>90008.563413743381</v>
      </c>
      <c r="BA56" s="36">
        <f t="shared" si="100"/>
        <v>127885.94470399336</v>
      </c>
      <c r="BB56" s="36">
        <f t="shared" si="100"/>
        <v>168223.29468458335</v>
      </c>
      <c r="BC56" s="36">
        <f t="shared" si="100"/>
        <v>168223.29468458335</v>
      </c>
      <c r="BD56" s="36">
        <f t="shared" si="100"/>
        <v>168223.29468458335</v>
      </c>
      <c r="BE56" s="36">
        <f t="shared" si="100"/>
        <v>133141.44470399336</v>
      </c>
      <c r="BF56" s="36">
        <f t="shared" si="100"/>
        <v>121255.34188467337</v>
      </c>
      <c r="BG56" s="36">
        <f t="shared" si="100"/>
        <v>63681.722323493363</v>
      </c>
      <c r="BH56" s="36">
        <f t="shared" si="100"/>
        <v>36410.007794513353</v>
      </c>
      <c r="BI56" s="155">
        <f t="shared" si="100"/>
        <v>36410.007794513353</v>
      </c>
    </row>
    <row r="57" spans="1:61" ht="15" customHeight="1" x14ac:dyDescent="0.35">
      <c r="A57" s="37" t="s">
        <v>67</v>
      </c>
      <c r="B57" s="159">
        <f>N29+B56</f>
        <v>126098.14104766672</v>
      </c>
      <c r="C57" s="38">
        <f>B57+C56</f>
        <v>92056.502838000073</v>
      </c>
      <c r="D57" s="38">
        <f t="shared" ref="D57:M57" si="101">C57+D56</f>
        <v>108783.2702693334</v>
      </c>
      <c r="E57" s="38">
        <f t="shared" si="101"/>
        <v>94788.512507666732</v>
      </c>
      <c r="F57" s="38">
        <f t="shared" si="101"/>
        <v>120197.83675300007</v>
      </c>
      <c r="G57" s="38">
        <f t="shared" si="101"/>
        <v>146679.0443733334</v>
      </c>
      <c r="H57" s="38">
        <f t="shared" si="101"/>
        <v>174232.13536866673</v>
      </c>
      <c r="I57" s="38">
        <f t="shared" si="101"/>
        <v>188530.65719800006</v>
      </c>
      <c r="J57" s="38">
        <f t="shared" si="101"/>
        <v>202164.6902613334</v>
      </c>
      <c r="K57" s="38">
        <f t="shared" si="101"/>
        <v>201879.66539266673</v>
      </c>
      <c r="L57" s="38">
        <f t="shared" si="101"/>
        <v>194635.11155800006</v>
      </c>
      <c r="M57" s="160">
        <f t="shared" si="101"/>
        <v>187390.55772333339</v>
      </c>
      <c r="N57" s="160">
        <f t="shared" ref="N57" si="102">M57+N56</f>
        <v>138870.78097966671</v>
      </c>
      <c r="O57" s="160">
        <f t="shared" ref="O57" si="103">N57+O56</f>
        <v>127307.84175900006</v>
      </c>
      <c r="P57" s="160">
        <f t="shared" ref="P57" si="104">O57+P56</f>
        <v>142751.31195233343</v>
      </c>
      <c r="Q57" s="160">
        <f t="shared" ref="Q57" si="105">P57+Q56</f>
        <v>182832.67382766679</v>
      </c>
      <c r="R57" s="160">
        <f t="shared" ref="R57" si="106">Q57+R56</f>
        <v>258030.58421000012</v>
      </c>
      <c r="S57" s="160">
        <f t="shared" ref="S57" si="107">R57+S56</f>
        <v>334300.37796733348</v>
      </c>
      <c r="T57" s="160">
        <f t="shared" ref="T57" si="108">S57+T56</f>
        <v>410570.17172466684</v>
      </c>
      <c r="U57" s="160">
        <f t="shared" ref="U57" si="109">T57+U56</f>
        <v>478944.8131910002</v>
      </c>
      <c r="V57" s="160">
        <f t="shared" ref="V57" si="110">U57+V56</f>
        <v>527376.49108433351</v>
      </c>
      <c r="W57" s="160">
        <f t="shared" ref="W57" si="111">V57+W56</f>
        <v>547970.05311366683</v>
      </c>
      <c r="X57" s="160">
        <f t="shared" ref="X57" si="112">W57+X56</f>
        <v>554644.55721100012</v>
      </c>
      <c r="Y57" s="160">
        <f t="shared" ref="Y57" si="113">X57+Y56</f>
        <v>561319.06130833342</v>
      </c>
      <c r="Z57" s="160">
        <f t="shared" ref="Z57" si="114">Y57+Z56</f>
        <v>542237.51251966669</v>
      </c>
      <c r="AA57" s="160">
        <f t="shared" ref="AA57" si="115">Z57+AA56</f>
        <v>535474.90957200003</v>
      </c>
      <c r="AB57" s="160">
        <f t="shared" ref="AB57" si="116">AA57+AB56</f>
        <v>550359.29916333337</v>
      </c>
      <c r="AC57" s="160">
        <f t="shared" ref="AC57" si="117">AB57+AC56</f>
        <v>614519.47211866674</v>
      </c>
      <c r="AD57" s="160">
        <f t="shared" ref="AD57" si="118">AC57+AD56</f>
        <v>726115.13942200015</v>
      </c>
      <c r="AE57" s="160">
        <f t="shared" ref="AE57" si="119">AD57+AE56</f>
        <v>838782.69010033354</v>
      </c>
      <c r="AF57" s="160">
        <f t="shared" ref="AF57" si="120">AE57+AF56</f>
        <v>951450.24077866692</v>
      </c>
      <c r="AG57" s="160">
        <f t="shared" ref="AG57" si="121">AF57+AG56</f>
        <v>1036944.1643590003</v>
      </c>
      <c r="AH57" s="160">
        <f t="shared" ref="AH57" si="122">AG57+AH56</f>
        <v>1120173.4870823335</v>
      </c>
      <c r="AI57" s="160">
        <f t="shared" ref="AI57" si="123">AH57+AI56</f>
        <v>1161645.6360096668</v>
      </c>
      <c r="AJ57" s="160">
        <f t="shared" ref="AJ57" si="124">AI57+AJ56</f>
        <v>1182239.1980390002</v>
      </c>
      <c r="AK57" s="160">
        <f t="shared" ref="AK57" si="125">AJ57+AK56</f>
        <v>1202832.7600683335</v>
      </c>
      <c r="AL57" s="160">
        <f t="shared" ref="AL57" si="126">AK57+AL56</f>
        <v>1240545.6042116669</v>
      </c>
      <c r="AM57" s="160">
        <f t="shared" ref="AM57" si="127">AL57+AM56</f>
        <v>1250165.8483642002</v>
      </c>
      <c r="AN57" s="160">
        <f t="shared" ref="AN57" si="128">AM57+AN56</f>
        <v>1293752.0308967335</v>
      </c>
      <c r="AO57" s="160">
        <f t="shared" ref="AO57" si="129">AN57+AO56</f>
        <v>1396789.1758842668</v>
      </c>
      <c r="AP57" s="160">
        <f t="shared" ref="AP57" si="130">AO57+AP56</f>
        <v>1549613.7882676004</v>
      </c>
      <c r="AQ57" s="160">
        <f t="shared" ref="AQ57" si="131">AP57+AQ56</f>
        <v>1702438.4006509339</v>
      </c>
      <c r="AR57" s="160">
        <f t="shared" ref="AR57" si="132">AQ57+AR56</f>
        <v>1855263.0130342674</v>
      </c>
      <c r="AS57" s="160">
        <f t="shared" ref="AS57" si="133">AR57+AS56</f>
        <v>1975346.3751468007</v>
      </c>
      <c r="AT57" s="160">
        <f t="shared" ref="AT57" si="134">AS57+AT56</f>
        <v>2085021.9079409339</v>
      </c>
      <c r="AU57" s="160">
        <f t="shared" ref="AU57" si="135">AT57+AU56</f>
        <v>2141805.0205934672</v>
      </c>
      <c r="AV57" s="160">
        <f t="shared" ref="AV57" si="136">AU57+AV56</f>
        <v>2173533.8289684006</v>
      </c>
      <c r="AW57" s="160">
        <f t="shared" ref="AW57" si="137">AV57+AW56</f>
        <v>2205262.637343334</v>
      </c>
      <c r="AX57" s="160">
        <f t="shared" ref="AX57" si="138">AW57+AX56</f>
        <v>2259853.7881571674</v>
      </c>
      <c r="AY57" s="160">
        <f t="shared" ref="AY57" si="139">AX57+AY56</f>
        <v>2323535.5104806609</v>
      </c>
      <c r="AZ57" s="160">
        <f t="shared" ref="AZ57" si="140">AY57+AZ56</f>
        <v>2413544.0738944043</v>
      </c>
      <c r="BA57" s="160">
        <f t="shared" ref="BA57" si="141">AZ57+BA56</f>
        <v>2541430.0185983977</v>
      </c>
      <c r="BB57" s="160">
        <f t="shared" ref="BB57" si="142">BA57+BB56</f>
        <v>2709653.313282981</v>
      </c>
      <c r="BC57" s="160">
        <f t="shared" ref="BC57" si="143">BB57+BC56</f>
        <v>2877876.6079675644</v>
      </c>
      <c r="BD57" s="160">
        <f t="shared" ref="BD57" si="144">BC57+BD56</f>
        <v>3046099.9026521477</v>
      </c>
      <c r="BE57" s="160">
        <f t="shared" ref="BE57" si="145">BD57+BE56</f>
        <v>3179241.3473561411</v>
      </c>
      <c r="BF57" s="160">
        <f t="shared" ref="BF57" si="146">BE57+BF56</f>
        <v>3300496.6892408147</v>
      </c>
      <c r="BG57" s="160">
        <f t="shared" ref="BG57" si="147">BF57+BG56</f>
        <v>3364178.4115643082</v>
      </c>
      <c r="BH57" s="160">
        <f t="shared" ref="BH57" si="148">BG57+BH56</f>
        <v>3400588.4193588216</v>
      </c>
      <c r="BI57" s="160">
        <f t="shared" ref="BI57" si="149">BH57+BI56</f>
        <v>3436998.427153335</v>
      </c>
    </row>
    <row r="58" spans="1:61" x14ac:dyDescent="0.35">
      <c r="B58" s="153"/>
      <c r="M58" s="154"/>
      <c r="N58" s="153"/>
      <c r="Y58" s="154"/>
      <c r="Z58" s="153"/>
      <c r="AK58" s="154"/>
      <c r="AL58" s="153"/>
      <c r="AW58" s="154"/>
      <c r="AX58" s="153"/>
      <c r="BI58" s="154"/>
    </row>
    <row r="59" spans="1:61" ht="15" customHeight="1" x14ac:dyDescent="0.35">
      <c r="A59" s="39" t="s">
        <v>68</v>
      </c>
      <c r="B59" s="153"/>
      <c r="M59" s="154"/>
      <c r="N59" s="153"/>
      <c r="Y59" s="154"/>
      <c r="Z59" s="153"/>
      <c r="AK59" s="154"/>
      <c r="AL59" s="153"/>
      <c r="AW59" s="154"/>
      <c r="AX59" s="153"/>
      <c r="BI59" s="154"/>
    </row>
    <row r="60" spans="1:61" ht="15" customHeight="1" x14ac:dyDescent="0.35">
      <c r="A60" t="s">
        <v>69</v>
      </c>
      <c r="B60" s="153">
        <v>30</v>
      </c>
      <c r="C60">
        <v>35</v>
      </c>
      <c r="D60">
        <v>35</v>
      </c>
      <c r="E60">
        <v>40</v>
      </c>
      <c r="F60">
        <v>37</v>
      </c>
      <c r="G60">
        <v>36</v>
      </c>
      <c r="H60">
        <v>35</v>
      </c>
      <c r="I60">
        <v>30</v>
      </c>
      <c r="J60">
        <v>25</v>
      </c>
      <c r="K60">
        <v>15</v>
      </c>
      <c r="L60">
        <v>10</v>
      </c>
      <c r="M60" s="154">
        <v>10</v>
      </c>
      <c r="N60" s="153">
        <f>B60*2</f>
        <v>60</v>
      </c>
      <c r="O60" s="153">
        <v>60</v>
      </c>
      <c r="P60" s="153">
        <f t="shared" ref="P60:Y60" si="150">D60*2</f>
        <v>70</v>
      </c>
      <c r="Q60" s="153">
        <v>70</v>
      </c>
      <c r="R60" s="153">
        <v>71</v>
      </c>
      <c r="S60" s="153">
        <v>70</v>
      </c>
      <c r="T60" s="153">
        <f t="shared" si="150"/>
        <v>70</v>
      </c>
      <c r="U60" s="153">
        <f t="shared" si="150"/>
        <v>60</v>
      </c>
      <c r="V60" s="153">
        <f t="shared" si="150"/>
        <v>50</v>
      </c>
      <c r="W60" s="153">
        <f t="shared" si="150"/>
        <v>30</v>
      </c>
      <c r="X60" s="153">
        <f t="shared" si="150"/>
        <v>20</v>
      </c>
      <c r="Y60" s="153">
        <f t="shared" si="150"/>
        <v>20</v>
      </c>
      <c r="Z60" s="153">
        <f>N60*1.5</f>
        <v>90</v>
      </c>
      <c r="AA60" s="153">
        <f t="shared" ref="AA60:AK60" si="151">O60*1.5</f>
        <v>90</v>
      </c>
      <c r="AB60" s="153">
        <f t="shared" si="151"/>
        <v>105</v>
      </c>
      <c r="AC60" s="153">
        <f t="shared" si="151"/>
        <v>105</v>
      </c>
      <c r="AD60" s="153">
        <v>106</v>
      </c>
      <c r="AE60" s="153">
        <f t="shared" si="151"/>
        <v>105</v>
      </c>
      <c r="AF60" s="153">
        <f t="shared" si="151"/>
        <v>105</v>
      </c>
      <c r="AG60" s="153">
        <f t="shared" si="151"/>
        <v>90</v>
      </c>
      <c r="AH60" s="153">
        <f t="shared" si="151"/>
        <v>75</v>
      </c>
      <c r="AI60" s="153">
        <f t="shared" si="151"/>
        <v>45</v>
      </c>
      <c r="AJ60" s="153">
        <f t="shared" si="151"/>
        <v>30</v>
      </c>
      <c r="AK60" s="153">
        <f t="shared" si="151"/>
        <v>30</v>
      </c>
      <c r="AL60" s="153">
        <v>60</v>
      </c>
      <c r="AM60" s="153">
        <v>100</v>
      </c>
      <c r="AN60" s="153">
        <v>115</v>
      </c>
      <c r="AO60" s="153">
        <v>117</v>
      </c>
      <c r="AP60" s="153">
        <v>125</v>
      </c>
      <c r="AQ60" s="153">
        <v>125</v>
      </c>
      <c r="AR60" s="153">
        <v>125</v>
      </c>
      <c r="AS60" s="153">
        <v>106</v>
      </c>
      <c r="AT60" s="153">
        <v>94</v>
      </c>
      <c r="AU60" s="153">
        <v>56</v>
      </c>
      <c r="AV60" s="153">
        <v>38</v>
      </c>
      <c r="AW60" s="153">
        <v>38</v>
      </c>
      <c r="AX60" s="153">
        <v>50</v>
      </c>
      <c r="AY60">
        <v>56</v>
      </c>
      <c r="AZ60">
        <v>81</v>
      </c>
      <c r="BA60">
        <v>106</v>
      </c>
      <c r="BB60">
        <v>125</v>
      </c>
      <c r="BC60">
        <v>125</v>
      </c>
      <c r="BD60">
        <v>125</v>
      </c>
      <c r="BE60">
        <v>106</v>
      </c>
      <c r="BF60">
        <v>94</v>
      </c>
      <c r="BG60">
        <v>56</v>
      </c>
      <c r="BH60">
        <v>38</v>
      </c>
      <c r="BI60" s="154">
        <v>38</v>
      </c>
    </row>
    <row r="61" spans="1:61" ht="15" customHeight="1" x14ac:dyDescent="0.35">
      <c r="A61" t="s">
        <v>70</v>
      </c>
      <c r="B61" s="153">
        <v>5</v>
      </c>
      <c r="C61">
        <v>10</v>
      </c>
      <c r="D61">
        <v>15</v>
      </c>
      <c r="E61">
        <v>25</v>
      </c>
      <c r="F61">
        <v>35</v>
      </c>
      <c r="G61">
        <v>35</v>
      </c>
      <c r="H61">
        <v>35</v>
      </c>
      <c r="I61">
        <v>30</v>
      </c>
      <c r="J61">
        <v>25</v>
      </c>
      <c r="K61">
        <v>15</v>
      </c>
      <c r="L61">
        <v>10</v>
      </c>
      <c r="M61" s="154">
        <v>10</v>
      </c>
      <c r="N61" s="153">
        <v>15</v>
      </c>
      <c r="O61" s="153">
        <v>30</v>
      </c>
      <c r="P61" s="153">
        <v>50</v>
      </c>
      <c r="Q61" s="153">
        <v>60</v>
      </c>
      <c r="R61" s="153">
        <f t="shared" ref="R61:Y61" si="152">F61*2</f>
        <v>70</v>
      </c>
      <c r="S61" s="153">
        <f t="shared" si="152"/>
        <v>70</v>
      </c>
      <c r="T61" s="153">
        <f t="shared" si="152"/>
        <v>70</v>
      </c>
      <c r="U61" s="153">
        <v>65</v>
      </c>
      <c r="V61" s="153">
        <f t="shared" si="152"/>
        <v>50</v>
      </c>
      <c r="W61" s="153">
        <v>30</v>
      </c>
      <c r="X61" s="153">
        <f t="shared" si="152"/>
        <v>20</v>
      </c>
      <c r="Y61" s="153">
        <f t="shared" si="152"/>
        <v>20</v>
      </c>
      <c r="Z61" s="153">
        <v>40</v>
      </c>
      <c r="AA61" s="153">
        <v>45</v>
      </c>
      <c r="AB61" s="153">
        <v>65</v>
      </c>
      <c r="AC61" s="153">
        <v>85</v>
      </c>
      <c r="AD61" s="153">
        <v>100</v>
      </c>
      <c r="AE61" s="153">
        <v>100</v>
      </c>
      <c r="AF61" s="153">
        <v>100</v>
      </c>
      <c r="AG61" s="153">
        <v>85</v>
      </c>
      <c r="AH61" s="153">
        <f t="shared" ref="AH61:AK61" si="153">V61*1.5</f>
        <v>75</v>
      </c>
      <c r="AI61" s="153">
        <f t="shared" si="153"/>
        <v>45</v>
      </c>
      <c r="AJ61" s="153">
        <f t="shared" si="153"/>
        <v>30</v>
      </c>
      <c r="AK61" s="153">
        <f t="shared" si="153"/>
        <v>30</v>
      </c>
      <c r="AL61" s="153">
        <f>Z61/8*10</f>
        <v>50</v>
      </c>
      <c r="AM61" s="153">
        <v>56</v>
      </c>
      <c r="AN61" s="153">
        <v>81</v>
      </c>
      <c r="AO61" s="153">
        <v>106</v>
      </c>
      <c r="AP61" s="153">
        <v>125</v>
      </c>
      <c r="AQ61" s="153">
        <f t="shared" ref="AQ61:AR61" si="154">AE61/8*10</f>
        <v>125</v>
      </c>
      <c r="AR61" s="153">
        <f t="shared" si="154"/>
        <v>125</v>
      </c>
      <c r="AS61" s="153">
        <v>106</v>
      </c>
      <c r="AT61" s="153">
        <v>94</v>
      </c>
      <c r="AU61" s="153">
        <v>56</v>
      </c>
      <c r="AV61" s="153">
        <v>38</v>
      </c>
      <c r="AW61" s="153">
        <v>38</v>
      </c>
      <c r="AX61" s="153">
        <v>50</v>
      </c>
      <c r="AY61">
        <v>56</v>
      </c>
      <c r="AZ61">
        <v>81</v>
      </c>
      <c r="BA61">
        <v>106</v>
      </c>
      <c r="BB61">
        <v>125</v>
      </c>
      <c r="BC61">
        <v>125</v>
      </c>
      <c r="BD61">
        <v>125</v>
      </c>
      <c r="BE61">
        <v>106</v>
      </c>
      <c r="BF61">
        <v>94</v>
      </c>
      <c r="BG61">
        <v>56</v>
      </c>
      <c r="BH61">
        <v>38</v>
      </c>
      <c r="BI61" s="154">
        <v>38</v>
      </c>
    </row>
    <row r="62" spans="1:61" ht="15" customHeight="1" x14ac:dyDescent="0.35">
      <c r="A62" t="s">
        <v>71</v>
      </c>
      <c r="B62" s="161">
        <f>N34+B60-B61</f>
        <v>61</v>
      </c>
      <c r="C62" s="162">
        <f>B62+C60-C61</f>
        <v>86</v>
      </c>
      <c r="D62" s="162">
        <f t="shared" ref="D62:M62" si="155">C62+D60-D61</f>
        <v>106</v>
      </c>
      <c r="E62" s="162">
        <f t="shared" si="155"/>
        <v>121</v>
      </c>
      <c r="F62" s="162">
        <f t="shared" si="155"/>
        <v>123</v>
      </c>
      <c r="G62" s="162">
        <f t="shared" si="155"/>
        <v>124</v>
      </c>
      <c r="H62" s="162">
        <f t="shared" si="155"/>
        <v>124</v>
      </c>
      <c r="I62" s="162">
        <f t="shared" si="155"/>
        <v>124</v>
      </c>
      <c r="J62" s="162">
        <f t="shared" si="155"/>
        <v>124</v>
      </c>
      <c r="K62" s="162">
        <f t="shared" si="155"/>
        <v>124</v>
      </c>
      <c r="L62" s="162">
        <f t="shared" si="155"/>
        <v>124</v>
      </c>
      <c r="M62" s="163">
        <f t="shared" si="155"/>
        <v>124</v>
      </c>
      <c r="N62" s="163">
        <f t="shared" ref="N62" si="156">M62+N60-N61</f>
        <v>169</v>
      </c>
      <c r="O62" s="163">
        <f t="shared" ref="O62" si="157">N62+O60-O61</f>
        <v>199</v>
      </c>
      <c r="P62" s="163">
        <f t="shared" ref="P62" si="158">O62+P60-P61</f>
        <v>219</v>
      </c>
      <c r="Q62" s="163">
        <f t="shared" ref="Q62" si="159">P62+Q60-Q61</f>
        <v>229</v>
      </c>
      <c r="R62" s="163">
        <f t="shared" ref="R62" si="160">Q62+R60-R61</f>
        <v>230</v>
      </c>
      <c r="S62" s="163">
        <f t="shared" ref="S62" si="161">R62+S60-S61</f>
        <v>230</v>
      </c>
      <c r="T62" s="163">
        <f t="shared" ref="T62" si="162">S62+T60-T61</f>
        <v>230</v>
      </c>
      <c r="U62" s="163">
        <f t="shared" ref="U62" si="163">T62+U60-U61</f>
        <v>225</v>
      </c>
      <c r="V62" s="163">
        <f t="shared" ref="V62" si="164">U62+V60-V61</f>
        <v>225</v>
      </c>
      <c r="W62" s="163">
        <f t="shared" ref="W62" si="165">V62+W60-W61</f>
        <v>225</v>
      </c>
      <c r="X62" s="163">
        <f t="shared" ref="X62" si="166">W62+X60-X61</f>
        <v>225</v>
      </c>
      <c r="Y62" s="163">
        <f t="shared" ref="Y62" si="167">X62+Y60-Y61</f>
        <v>225</v>
      </c>
      <c r="Z62" s="163">
        <f t="shared" ref="Z62" si="168">Y62+Z60-Z61</f>
        <v>275</v>
      </c>
      <c r="AA62" s="163">
        <f t="shared" ref="AA62" si="169">Z62+AA60-AA61</f>
        <v>320</v>
      </c>
      <c r="AB62" s="163">
        <f t="shared" ref="AB62" si="170">AA62+AB60-AB61</f>
        <v>360</v>
      </c>
      <c r="AC62" s="163">
        <f t="shared" ref="AC62" si="171">AB62+AC60-AC61</f>
        <v>380</v>
      </c>
      <c r="AD62" s="163">
        <f t="shared" ref="AD62" si="172">AC62+AD60-AD61</f>
        <v>386</v>
      </c>
      <c r="AE62" s="163">
        <f t="shared" ref="AE62" si="173">AD62+AE60-AE61</f>
        <v>391</v>
      </c>
      <c r="AF62" s="163">
        <f t="shared" ref="AF62" si="174">AE62+AF60-AF61</f>
        <v>396</v>
      </c>
      <c r="AG62" s="163">
        <f t="shared" ref="AG62" si="175">AF62+AG60-AG61</f>
        <v>401</v>
      </c>
      <c r="AH62" s="163">
        <f t="shared" ref="AH62" si="176">AG62+AH60-AH61</f>
        <v>401</v>
      </c>
      <c r="AI62" s="163">
        <f t="shared" ref="AI62" si="177">AH62+AI60-AI61</f>
        <v>401</v>
      </c>
      <c r="AJ62" s="163">
        <f t="shared" ref="AJ62" si="178">AI62+AJ60-AJ61</f>
        <v>401</v>
      </c>
      <c r="AK62" s="163">
        <f t="shared" ref="AK62" si="179">AJ62+AK60-AK61</f>
        <v>401</v>
      </c>
      <c r="AL62" s="163">
        <f t="shared" ref="AL62" si="180">AK62+AL60-AL61</f>
        <v>411</v>
      </c>
      <c r="AM62" s="163">
        <f t="shared" ref="AM62" si="181">AL62+AM60-AM61</f>
        <v>455</v>
      </c>
      <c r="AN62" s="163">
        <f t="shared" ref="AN62" si="182">AM62+AN60-AN61</f>
        <v>489</v>
      </c>
      <c r="AO62" s="163">
        <f t="shared" ref="AO62" si="183">AN62+AO60-AO61</f>
        <v>500</v>
      </c>
      <c r="AP62" s="163">
        <f t="shared" ref="AP62" si="184">AO62+AP60-AP61</f>
        <v>500</v>
      </c>
      <c r="AQ62" s="163">
        <f t="shared" ref="AQ62" si="185">AP62+AQ60-AQ61</f>
        <v>500</v>
      </c>
      <c r="AR62" s="163">
        <f t="shared" ref="AR62" si="186">AQ62+AR60-AR61</f>
        <v>500</v>
      </c>
      <c r="AS62" s="163">
        <f t="shared" ref="AS62" si="187">AR62+AS60-AS61</f>
        <v>500</v>
      </c>
      <c r="AT62" s="163">
        <f t="shared" ref="AT62" si="188">AS62+AT60-AT61</f>
        <v>500</v>
      </c>
      <c r="AU62" s="163">
        <f t="shared" ref="AU62" si="189">AT62+AU60-AU61</f>
        <v>500</v>
      </c>
      <c r="AV62" s="163">
        <f t="shared" ref="AV62" si="190">AU62+AV60-AV61</f>
        <v>500</v>
      </c>
      <c r="AW62" s="163">
        <f t="shared" ref="AW62" si="191">AV62+AW60-AW61</f>
        <v>500</v>
      </c>
      <c r="AX62" s="163">
        <f t="shared" ref="AX62" si="192">AW62+AX60-AX61</f>
        <v>500</v>
      </c>
      <c r="AY62" s="163">
        <f t="shared" ref="AY62" si="193">AX62+AY60-AY61</f>
        <v>500</v>
      </c>
      <c r="AZ62" s="163">
        <f t="shared" ref="AZ62" si="194">AY62+AZ60-AZ61</f>
        <v>500</v>
      </c>
      <c r="BA62" s="163">
        <f t="shared" ref="BA62" si="195">AZ62+BA60-BA61</f>
        <v>500</v>
      </c>
      <c r="BB62" s="163">
        <f t="shared" ref="BB62" si="196">BA62+BB60-BB61</f>
        <v>500</v>
      </c>
      <c r="BC62" s="163">
        <f t="shared" ref="BC62" si="197">BB62+BC60-BC61</f>
        <v>500</v>
      </c>
      <c r="BD62" s="163">
        <f t="shared" ref="BD62" si="198">BC62+BD60-BD61</f>
        <v>500</v>
      </c>
      <c r="BE62" s="163">
        <f t="shared" ref="BE62" si="199">BD62+BE60-BE61</f>
        <v>500</v>
      </c>
      <c r="BF62" s="163">
        <f t="shared" ref="BF62" si="200">BE62+BF60-BF61</f>
        <v>500</v>
      </c>
      <c r="BG62" s="163">
        <f t="shared" ref="BG62" si="201">BF62+BG60-BG61</f>
        <v>500</v>
      </c>
      <c r="BH62" s="163">
        <f t="shared" ref="BH62" si="202">BG62+BH60-BH61</f>
        <v>500</v>
      </c>
      <c r="BI62" s="163">
        <f t="shared" ref="BI62" si="203">BH62+BI60-BI61</f>
        <v>500</v>
      </c>
    </row>
    <row r="63" spans="1:61" x14ac:dyDescent="0.35">
      <c r="L63" s="164" t="s">
        <v>422</v>
      </c>
      <c r="M63">
        <f>SUM(B60:M60)</f>
        <v>338</v>
      </c>
      <c r="X63" s="164" t="s">
        <v>422</v>
      </c>
      <c r="Y63">
        <f>SUM(N60:Y60)</f>
        <v>651</v>
      </c>
      <c r="AJ63" s="164" t="s">
        <v>422</v>
      </c>
      <c r="AK63">
        <f>SUM(Z60:AK60)</f>
        <v>976</v>
      </c>
      <c r="AV63" s="164" t="s">
        <v>422</v>
      </c>
      <c r="AW63">
        <f>SUM(AL60:AW60)</f>
        <v>1099</v>
      </c>
      <c r="BH63" s="164" t="s">
        <v>422</v>
      </c>
      <c r="BI63">
        <f>SUM(AX60:BI60)</f>
        <v>1000</v>
      </c>
    </row>
    <row r="64" spans="1:61" x14ac:dyDescent="0.35">
      <c r="L64" s="164" t="s">
        <v>421</v>
      </c>
      <c r="M64">
        <f>SUM(B61:M61)</f>
        <v>250</v>
      </c>
      <c r="X64" s="164" t="s">
        <v>421</v>
      </c>
      <c r="Y64">
        <f>SUM(N61:Y61)</f>
        <v>550</v>
      </c>
      <c r="AJ64" s="164" t="s">
        <v>421</v>
      </c>
      <c r="AK64">
        <f>SUM(Z61:AK61)</f>
        <v>800</v>
      </c>
      <c r="AV64" s="164" t="s">
        <v>421</v>
      </c>
      <c r="AW64">
        <f>SUM(AL61:AW61)</f>
        <v>1000</v>
      </c>
      <c r="BH64" s="164" t="s">
        <v>421</v>
      </c>
      <c r="BI64">
        <f>SUM(AX61:BI61)</f>
        <v>1000</v>
      </c>
    </row>
    <row r="65" spans="1:61" ht="15" customHeight="1" x14ac:dyDescent="0.35">
      <c r="A65" s="33" t="s">
        <v>74</v>
      </c>
      <c r="L65" t="s">
        <v>452</v>
      </c>
      <c r="M65" s="36">
        <f>SUM(B41:M41)</f>
        <v>621666.62500000012</v>
      </c>
      <c r="X65" t="s">
        <v>452</v>
      </c>
      <c r="Y65" s="36">
        <f>SUM(N41:Y41)</f>
        <v>1367666.5750000004</v>
      </c>
      <c r="AJ65" t="s">
        <v>452</v>
      </c>
      <c r="AK65" s="36">
        <f>SUM(Z41:AK41)</f>
        <v>1989333.2000000004</v>
      </c>
      <c r="AV65" t="s">
        <v>452</v>
      </c>
      <c r="AW65" s="36">
        <f>SUM(AL41:AW41)</f>
        <v>2486666.5</v>
      </c>
      <c r="BH65" t="s">
        <v>452</v>
      </c>
      <c r="BI65" s="36">
        <f>SUM(AX41:BI41)</f>
        <v>2610999.8250000007</v>
      </c>
    </row>
    <row r="66" spans="1:61" x14ac:dyDescent="0.35">
      <c r="L66" t="s">
        <v>454</v>
      </c>
      <c r="M66" s="36">
        <f>SUM(B56:M56)</f>
        <v>20291.249500000071</v>
      </c>
      <c r="X66" t="s">
        <v>454</v>
      </c>
      <c r="Y66" s="36">
        <f>SUM(N56:Y56)</f>
        <v>373928.50358500017</v>
      </c>
      <c r="AJ66" t="s">
        <v>454</v>
      </c>
      <c r="AK66" s="36">
        <f>SUM(Z56:AK56)</f>
        <v>641513.69876000006</v>
      </c>
      <c r="AV66" t="s">
        <v>454</v>
      </c>
      <c r="AW66" s="36">
        <f>SUM(AL56:AW56)</f>
        <v>1002429.8772750002</v>
      </c>
      <c r="BH66" t="s">
        <v>454</v>
      </c>
      <c r="BI66" s="36">
        <f>SUM(AX56:BI56)</f>
        <v>1231735.7898100002</v>
      </c>
    </row>
    <row r="67" spans="1:61" ht="15" customHeight="1" x14ac:dyDescent="0.35">
      <c r="A67" s="30" t="s">
        <v>75</v>
      </c>
    </row>
    <row r="68" spans="1:61" ht="15" customHeight="1" x14ac:dyDescent="0.35">
      <c r="A68" t="s">
        <v>76</v>
      </c>
    </row>
    <row r="69" spans="1:61" ht="15" customHeight="1" x14ac:dyDescent="0.35">
      <c r="A69" t="s">
        <v>77</v>
      </c>
    </row>
    <row r="70" spans="1:61" ht="15" customHeight="1" x14ac:dyDescent="0.35">
      <c r="A70" t="s">
        <v>78</v>
      </c>
    </row>
    <row r="71" spans="1:61" ht="15" customHeight="1" x14ac:dyDescent="0.35"/>
    <row r="72" spans="1:61" ht="15" customHeight="1" x14ac:dyDescent="0.35"/>
    <row r="73" spans="1:61" ht="15" customHeight="1" x14ac:dyDescent="0.35">
      <c r="A73" t="s">
        <v>79</v>
      </c>
    </row>
    <row r="75" spans="1:61" ht="15" customHeight="1" x14ac:dyDescent="0.35">
      <c r="A75" s="146" t="s">
        <v>412</v>
      </c>
      <c r="B75" s="147">
        <f>MIN(E29:N29,B57:M57)</f>
        <v>92056.502838000073</v>
      </c>
    </row>
    <row r="76" spans="1:61" ht="15" customHeight="1" x14ac:dyDescent="0.35">
      <c r="A76" t="s">
        <v>413</v>
      </c>
      <c r="B76" s="147">
        <f>N29</f>
        <v>167099.30822333338</v>
      </c>
    </row>
    <row r="77" spans="1:61" ht="15" customHeight="1" x14ac:dyDescent="0.35">
      <c r="A77" t="s">
        <v>414</v>
      </c>
      <c r="B77" s="147">
        <f>M57</f>
        <v>187390.55772333339</v>
      </c>
    </row>
    <row r="79" spans="1:61" ht="15" customHeight="1" x14ac:dyDescent="0.35">
      <c r="A79" s="32"/>
    </row>
    <row r="82" spans="1:4" ht="15" customHeight="1" x14ac:dyDescent="0.35">
      <c r="A82" s="33" t="s">
        <v>80</v>
      </c>
    </row>
    <row r="84" spans="1:4" ht="15" customHeight="1" x14ac:dyDescent="0.35">
      <c r="A84" s="40" t="s">
        <v>81</v>
      </c>
      <c r="B84" s="40" t="s">
        <v>82</v>
      </c>
      <c r="C84" s="40" t="s">
        <v>23</v>
      </c>
      <c r="D84" s="40" t="s">
        <v>83</v>
      </c>
    </row>
    <row r="85" spans="1:4" ht="15" customHeight="1" x14ac:dyDescent="0.35">
      <c r="A85" t="s">
        <v>84</v>
      </c>
      <c r="B85" t="s">
        <v>6</v>
      </c>
      <c r="C85" s="41">
        <v>100000</v>
      </c>
      <c r="D85" t="s">
        <v>85</v>
      </c>
    </row>
    <row r="86" spans="1:4" ht="15" customHeight="1" x14ac:dyDescent="0.35">
      <c r="A86" t="s">
        <v>86</v>
      </c>
      <c r="B86" t="s">
        <v>53</v>
      </c>
      <c r="C86" s="41">
        <v>89000</v>
      </c>
      <c r="D86" t="s">
        <v>87</v>
      </c>
    </row>
    <row r="87" spans="1:4" ht="15" customHeight="1" x14ac:dyDescent="0.35">
      <c r="A87" t="s">
        <v>88</v>
      </c>
      <c r="B87" t="s">
        <v>89</v>
      </c>
      <c r="C87" s="41">
        <v>189000</v>
      </c>
      <c r="D87" t="s">
        <v>90</v>
      </c>
    </row>
    <row r="88" spans="1:4" ht="15" customHeight="1" x14ac:dyDescent="0.35">
      <c r="C88" s="41"/>
    </row>
    <row r="89" spans="1:4" ht="15" customHeight="1" x14ac:dyDescent="0.35">
      <c r="A89" t="s">
        <v>91</v>
      </c>
      <c r="B89" t="s">
        <v>73</v>
      </c>
      <c r="C89" s="41">
        <v>50000</v>
      </c>
      <c r="D89" t="s">
        <v>92</v>
      </c>
    </row>
    <row r="90" spans="1:4" ht="15" customHeight="1" x14ac:dyDescent="0.35"/>
    <row r="92" spans="1:4" ht="15" customHeight="1" x14ac:dyDescent="0.35">
      <c r="A92" s="30"/>
    </row>
    <row r="93" spans="1:4" ht="15" customHeight="1" x14ac:dyDescent="0.35"/>
    <row r="94" spans="1:4" ht="15" customHeight="1" x14ac:dyDescent="0.35">
      <c r="A94" t="s">
        <v>423</v>
      </c>
    </row>
    <row r="95" spans="1:4" ht="15" customHeight="1" x14ac:dyDescent="0.35"/>
    <row r="97" spans="1:1" ht="15" customHeight="1" x14ac:dyDescent="0.35">
      <c r="A97" s="32"/>
    </row>
    <row r="98" spans="1:1" ht="15" customHeight="1" x14ac:dyDescent="0.35">
      <c r="A98" s="32"/>
    </row>
    <row r="99" spans="1:1" ht="14.25" customHeight="1" x14ac:dyDescent="0.35"/>
    <row r="100" spans="1:1" ht="14.25" customHeight="1" x14ac:dyDescent="0.35"/>
    <row r="101" spans="1:1" ht="14.25" customHeight="1" x14ac:dyDescent="0.35"/>
    <row r="102" spans="1:1" ht="14.25" customHeight="1" x14ac:dyDescent="0.35"/>
    <row r="104" spans="1:1" ht="14.25" customHeight="1" x14ac:dyDescent="0.35">
      <c r="A104" t="s">
        <v>93</v>
      </c>
    </row>
    <row r="105" spans="1:1" ht="14.25" customHeight="1" x14ac:dyDescent="0.35">
      <c r="A105" t="s">
        <v>94</v>
      </c>
    </row>
    <row r="106" spans="1:1" ht="14.25" customHeight="1" x14ac:dyDescent="0.35">
      <c r="A106" t="s">
        <v>95</v>
      </c>
    </row>
    <row r="107" spans="1:1" ht="14.25" customHeight="1" x14ac:dyDescent="0.35">
      <c r="A107" t="s">
        <v>96</v>
      </c>
    </row>
    <row r="108" spans="1:1" ht="14.25" customHeight="1" x14ac:dyDescent="0.35">
      <c r="A108" t="s">
        <v>97</v>
      </c>
    </row>
  </sheetData>
  <mergeCells count="5">
    <mergeCell ref="B37:M37"/>
    <mergeCell ref="N37:Y37"/>
    <mergeCell ref="Z37:AK37"/>
    <mergeCell ref="AL37:AW37"/>
    <mergeCell ref="AX37:BI37"/>
  </mergeCells>
  <phoneticPr fontId="6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5"/>
  <sheetViews>
    <sheetView zoomScaleNormal="100" workbookViewId="0">
      <selection activeCell="L44" sqref="L44"/>
    </sheetView>
  </sheetViews>
  <sheetFormatPr baseColWidth="10" defaultColWidth="8.6328125" defaultRowHeight="14.5" x14ac:dyDescent="0.35"/>
  <cols>
    <col min="1" max="1" width="45" customWidth="1"/>
    <col min="2" max="5" width="14" customWidth="1"/>
    <col min="6" max="6" width="15.453125" bestFit="1" customWidth="1"/>
    <col min="7" max="8" width="15.54296875" customWidth="1"/>
  </cols>
  <sheetData>
    <row r="1" spans="1:8" ht="19.5" customHeight="1" x14ac:dyDescent="0.4">
      <c r="A1" s="194" t="s">
        <v>340</v>
      </c>
      <c r="B1" s="194"/>
      <c r="C1" s="194"/>
      <c r="D1" s="194"/>
      <c r="E1" s="194"/>
      <c r="F1" s="194"/>
      <c r="G1" s="194"/>
      <c r="H1" s="194"/>
    </row>
    <row r="3" spans="1:8" ht="15" customHeight="1" x14ac:dyDescent="0.35">
      <c r="A3" s="140" t="s">
        <v>331</v>
      </c>
      <c r="B3" s="185" t="s">
        <v>455</v>
      </c>
      <c r="C3" s="185" t="s">
        <v>456</v>
      </c>
      <c r="D3" s="140"/>
    </row>
    <row r="4" spans="1:8" ht="15" customHeight="1" x14ac:dyDescent="0.35">
      <c r="A4" s="46" t="s">
        <v>341</v>
      </c>
      <c r="B4" s="57">
        <f>'Marges Produits'!C45</f>
        <v>2486.6665000000003</v>
      </c>
    </row>
    <row r="5" spans="1:8" ht="15" customHeight="1" x14ac:dyDescent="0.35">
      <c r="A5" s="46" t="s">
        <v>342</v>
      </c>
      <c r="B5" s="57">
        <f>'Marges Produits'!D45</f>
        <v>1111.5007000000001</v>
      </c>
      <c r="C5" s="147">
        <f>B5*1.05</f>
        <v>1167.0757350000001</v>
      </c>
    </row>
    <row r="6" spans="1:8" ht="15" customHeight="1" x14ac:dyDescent="0.35">
      <c r="A6" s="46" t="s">
        <v>306</v>
      </c>
      <c r="B6" s="57">
        <f>'Marges Produits'!E45</f>
        <v>932.07249999999999</v>
      </c>
    </row>
    <row r="7" spans="1:8" ht="15" customHeight="1" x14ac:dyDescent="0.35">
      <c r="A7" s="46" t="s">
        <v>309</v>
      </c>
      <c r="B7" s="95">
        <v>0.5</v>
      </c>
    </row>
    <row r="8" spans="1:8" ht="15" customHeight="1" x14ac:dyDescent="0.35">
      <c r="A8" s="46" t="s">
        <v>312</v>
      </c>
      <c r="B8" s="138">
        <f>'Charges Fixes Plume'!D44</f>
        <v>195758.55799999999</v>
      </c>
    </row>
    <row r="10" spans="1:8" ht="15" customHeight="1" x14ac:dyDescent="0.35">
      <c r="A10" s="213" t="s">
        <v>343</v>
      </c>
      <c r="B10" s="213"/>
      <c r="C10" s="213"/>
      <c r="D10" s="213"/>
      <c r="E10" s="213"/>
      <c r="F10" s="213"/>
      <c r="G10" s="213"/>
      <c r="H10" s="213"/>
    </row>
    <row r="11" spans="1:8" ht="15" customHeight="1" x14ac:dyDescent="0.35">
      <c r="A11" s="73" t="s">
        <v>172</v>
      </c>
      <c r="B11" s="56">
        <v>2025</v>
      </c>
      <c r="C11" s="56">
        <v>2026</v>
      </c>
      <c r="D11" s="56">
        <v>2027</v>
      </c>
      <c r="E11" s="56">
        <v>2028</v>
      </c>
      <c r="F11" s="56">
        <v>2029</v>
      </c>
      <c r="G11" s="56">
        <v>2030</v>
      </c>
      <c r="H11" s="56">
        <v>2031</v>
      </c>
    </row>
    <row r="12" spans="1:8" ht="15" customHeight="1" x14ac:dyDescent="0.35">
      <c r="A12" s="46" t="s">
        <v>344</v>
      </c>
      <c r="B12" s="62">
        <f>'Seuil Rentabilité'!B25</f>
        <v>0</v>
      </c>
      <c r="C12" s="62">
        <f>'Seuil Rentabilité'!C25</f>
        <v>75</v>
      </c>
      <c r="D12" s="62">
        <f>'Seuil Rentabilité'!D25</f>
        <v>250</v>
      </c>
      <c r="E12" s="62">
        <f>'Seuil Rentabilité'!E25</f>
        <v>550</v>
      </c>
      <c r="F12" s="62">
        <f>'Seuil Rentabilité'!F25</f>
        <v>800</v>
      </c>
      <c r="G12" s="62">
        <f>'Seuil Rentabilité'!G25</f>
        <v>1000</v>
      </c>
      <c r="H12" s="62">
        <f>'Seuil Rentabilité'!H25</f>
        <v>1000</v>
      </c>
    </row>
    <row r="13" spans="1:8" ht="15" customHeight="1" x14ac:dyDescent="0.35">
      <c r="A13" s="59" t="s">
        <v>345</v>
      </c>
      <c r="B13" s="83">
        <f t="shared" ref="B13:G13" si="0">B12*$B$4</f>
        <v>0</v>
      </c>
      <c r="C13" s="83">
        <f>C12*$B$4</f>
        <v>186499.98750000002</v>
      </c>
      <c r="D13" s="83">
        <f t="shared" si="0"/>
        <v>621666.62500000012</v>
      </c>
      <c r="E13" s="83">
        <f t="shared" si="0"/>
        <v>1367666.5750000002</v>
      </c>
      <c r="F13" s="83">
        <f t="shared" si="0"/>
        <v>1989333.2000000002</v>
      </c>
      <c r="G13" s="83">
        <f t="shared" si="0"/>
        <v>2486666.5000000005</v>
      </c>
      <c r="H13" s="83">
        <f>'Plan Trésorerie Mensuel'!BI65</f>
        <v>2610999.8250000007</v>
      </c>
    </row>
    <row r="15" spans="1:8" ht="15" customHeight="1" x14ac:dyDescent="0.35">
      <c r="A15" s="213" t="s">
        <v>346</v>
      </c>
      <c r="B15" s="213"/>
      <c r="C15" s="213"/>
      <c r="D15" s="213"/>
      <c r="E15" s="213"/>
      <c r="F15" s="213"/>
      <c r="G15" s="213"/>
      <c r="H15" s="213"/>
    </row>
    <row r="16" spans="1:8" ht="15" customHeight="1" x14ac:dyDescent="0.35">
      <c r="A16" s="59" t="s">
        <v>347</v>
      </c>
      <c r="B16" s="83">
        <f t="shared" ref="B16:G16" si="1">B12*$B$5</f>
        <v>0</v>
      </c>
      <c r="C16" s="83">
        <f>C12*$B$5</f>
        <v>83362.552500000005</v>
      </c>
      <c r="D16" s="83">
        <f t="shared" si="1"/>
        <v>277875.17499999999</v>
      </c>
      <c r="E16" s="83">
        <f t="shared" si="1"/>
        <v>611325.38500000001</v>
      </c>
      <c r="F16" s="83">
        <f t="shared" si="1"/>
        <v>889200.56</v>
      </c>
      <c r="G16" s="83">
        <f t="shared" si="1"/>
        <v>1111500.7</v>
      </c>
      <c r="H16" s="83">
        <f>H12*$C$5</f>
        <v>1167075.7350000001</v>
      </c>
    </row>
    <row r="18" spans="1:8" ht="15" customHeight="1" x14ac:dyDescent="0.35">
      <c r="A18" s="213" t="s">
        <v>348</v>
      </c>
      <c r="B18" s="213"/>
      <c r="C18" s="213"/>
      <c r="D18" s="213"/>
      <c r="E18" s="213"/>
      <c r="F18" s="213"/>
      <c r="G18" s="213"/>
      <c r="H18" s="213"/>
    </row>
    <row r="19" spans="1:8" ht="15" customHeight="1" x14ac:dyDescent="0.35">
      <c r="A19" s="46" t="s">
        <v>312</v>
      </c>
      <c r="B19" s="81">
        <f>B21</f>
        <v>22657.97083333334</v>
      </c>
      <c r="C19" s="81">
        <f>$B$8</f>
        <v>195758.55799999999</v>
      </c>
      <c r="D19" s="81">
        <f t="shared" ref="D19:H19" si="2">$B$8</f>
        <v>195758.55799999999</v>
      </c>
      <c r="E19" s="81">
        <f t="shared" si="2"/>
        <v>195758.55799999999</v>
      </c>
      <c r="F19" s="81">
        <f t="shared" si="2"/>
        <v>195758.55799999999</v>
      </c>
      <c r="G19" s="81">
        <f t="shared" si="2"/>
        <v>195758.55799999999</v>
      </c>
      <c r="H19" s="81">
        <f t="shared" si="2"/>
        <v>195758.55799999999</v>
      </c>
    </row>
    <row r="20" spans="1:8" ht="15" customHeight="1" x14ac:dyDescent="0.35">
      <c r="A20" s="46" t="s">
        <v>410</v>
      </c>
      <c r="B20" s="81">
        <v>0</v>
      </c>
      <c r="C20" s="81">
        <f>'Emprunt Bancaire'!D35</f>
        <v>8282.5</v>
      </c>
      <c r="D20" s="81">
        <f>'Emprunt Bancaire'!D36</f>
        <v>6256.5</v>
      </c>
      <c r="E20" s="81">
        <f>'Emprunt Bancaire'!D37</f>
        <v>4136.5</v>
      </c>
      <c r="F20" s="81">
        <f>'Emprunt Bancaire'!D38</f>
        <v>1919.5</v>
      </c>
      <c r="G20" s="81">
        <v>0</v>
      </c>
      <c r="H20" s="81">
        <v>0</v>
      </c>
    </row>
    <row r="21" spans="1:8" ht="15" customHeight="1" x14ac:dyDescent="0.35">
      <c r="A21" s="59" t="s">
        <v>314</v>
      </c>
      <c r="B21" s="97">
        <f>B43-B45</f>
        <v>22657.97083333334</v>
      </c>
      <c r="C21" s="97">
        <f t="shared" ref="C21:H21" si="3">C19+C20</f>
        <v>204041.05799999999</v>
      </c>
      <c r="D21" s="97">
        <f t="shared" si="3"/>
        <v>202015.05799999999</v>
      </c>
      <c r="E21" s="97">
        <f t="shared" si="3"/>
        <v>199895.05799999999</v>
      </c>
      <c r="F21" s="97">
        <f t="shared" si="3"/>
        <v>197678.05799999999</v>
      </c>
      <c r="G21" s="97">
        <f t="shared" si="3"/>
        <v>195758.55799999999</v>
      </c>
      <c r="H21" s="97">
        <f t="shared" si="3"/>
        <v>195758.55799999999</v>
      </c>
    </row>
    <row r="23" spans="1:8" ht="15" customHeight="1" x14ac:dyDescent="0.35">
      <c r="A23" s="213" t="s">
        <v>197</v>
      </c>
      <c r="B23" s="213"/>
      <c r="C23" s="213"/>
      <c r="D23" s="213"/>
      <c r="E23" s="213"/>
      <c r="F23" s="213"/>
      <c r="G23" s="213"/>
      <c r="H23" s="213"/>
    </row>
    <row r="24" spans="1:8" ht="15" customHeight="1" x14ac:dyDescent="0.35">
      <c r="A24" s="46" t="s">
        <v>349</v>
      </c>
      <c r="B24" s="81">
        <f t="shared" ref="B24:H24" si="4">B13*0.008</f>
        <v>0</v>
      </c>
      <c r="C24" s="81">
        <f>C13*0.008</f>
        <v>1491.9999000000003</v>
      </c>
      <c r="D24" s="81">
        <f t="shared" si="4"/>
        <v>4973.3330000000014</v>
      </c>
      <c r="E24" s="81">
        <f t="shared" si="4"/>
        <v>10941.332600000002</v>
      </c>
      <c r="F24" s="81">
        <f t="shared" si="4"/>
        <v>15914.665600000002</v>
      </c>
      <c r="G24" s="81">
        <f t="shared" si="4"/>
        <v>19893.332000000006</v>
      </c>
      <c r="H24" s="81">
        <f t="shared" si="4"/>
        <v>20887.998600000006</v>
      </c>
    </row>
    <row r="25" spans="1:8" ht="15" customHeight="1" x14ac:dyDescent="0.35">
      <c r="A25" s="59" t="s">
        <v>350</v>
      </c>
      <c r="B25" s="97">
        <f t="shared" ref="B25:H25" si="5">B24</f>
        <v>0</v>
      </c>
      <c r="C25" s="97">
        <f t="shared" si="5"/>
        <v>1491.9999000000003</v>
      </c>
      <c r="D25" s="97">
        <f t="shared" si="5"/>
        <v>4973.3330000000014</v>
      </c>
      <c r="E25" s="97">
        <f t="shared" si="5"/>
        <v>10941.332600000002</v>
      </c>
      <c r="F25" s="97">
        <f t="shared" si="5"/>
        <v>15914.665600000002</v>
      </c>
      <c r="G25" s="97">
        <f t="shared" si="5"/>
        <v>19893.332000000006</v>
      </c>
      <c r="H25" s="97">
        <f t="shared" si="5"/>
        <v>20887.998600000006</v>
      </c>
    </row>
    <row r="27" spans="1:8" ht="15" customHeight="1" x14ac:dyDescent="0.35">
      <c r="A27" s="214" t="s">
        <v>351</v>
      </c>
      <c r="B27" s="214"/>
      <c r="C27" s="214"/>
      <c r="D27" s="214"/>
      <c r="E27" s="214"/>
      <c r="F27" s="214"/>
      <c r="G27" s="214"/>
      <c r="H27" s="214"/>
    </row>
    <row r="28" spans="1:8" ht="15" customHeight="1" x14ac:dyDescent="0.35">
      <c r="A28" s="59" t="s">
        <v>352</v>
      </c>
      <c r="B28" s="109">
        <f t="shared" ref="B28:H28" si="6">B16-B21-B25</f>
        <v>-22657.97083333334</v>
      </c>
      <c r="C28" s="109">
        <f>C16-C21-C25</f>
        <v>-122170.50539999998</v>
      </c>
      <c r="D28" s="109">
        <f t="shared" si="6"/>
        <v>70886.784</v>
      </c>
      <c r="E28" s="109">
        <f t="shared" si="6"/>
        <v>400488.99440000003</v>
      </c>
      <c r="F28" s="109">
        <f t="shared" si="6"/>
        <v>675607.83640000015</v>
      </c>
      <c r="G28" s="109">
        <f t="shared" si="6"/>
        <v>895848.80999999994</v>
      </c>
      <c r="H28" s="109">
        <f t="shared" si="6"/>
        <v>950429.17840000009</v>
      </c>
    </row>
    <row r="29" spans="1:8" hidden="1" x14ac:dyDescent="0.35"/>
    <row r="30" spans="1:8" ht="15" hidden="1" customHeight="1" x14ac:dyDescent="0.35">
      <c r="A30" s="215"/>
      <c r="B30" s="216"/>
      <c r="C30" s="216"/>
      <c r="D30" s="216"/>
      <c r="E30" s="216"/>
      <c r="F30" s="216"/>
      <c r="G30" s="216"/>
      <c r="H30" s="216"/>
    </row>
    <row r="31" spans="1:8" ht="15" hidden="1" customHeight="1" x14ac:dyDescent="0.35">
      <c r="A31" s="46"/>
      <c r="B31" s="81"/>
      <c r="C31" s="81"/>
      <c r="D31" s="81"/>
      <c r="E31" s="81"/>
      <c r="F31" s="81"/>
      <c r="G31" s="81"/>
      <c r="H31" s="81"/>
    </row>
    <row r="33" spans="1:8" ht="15" customHeight="1" x14ac:dyDescent="0.35">
      <c r="A33" s="217" t="s">
        <v>353</v>
      </c>
      <c r="B33" s="217"/>
      <c r="C33" s="217"/>
      <c r="D33" s="217"/>
      <c r="E33" s="217"/>
      <c r="F33" s="217"/>
      <c r="G33" s="217"/>
      <c r="H33" s="217"/>
    </row>
    <row r="34" spans="1:8" ht="17.25" customHeight="1" x14ac:dyDescent="0.35">
      <c r="A34" s="107" t="s">
        <v>353</v>
      </c>
      <c r="B34" s="110">
        <f t="shared" ref="B34:H34" si="7">B28-B31</f>
        <v>-22657.97083333334</v>
      </c>
      <c r="C34" s="110">
        <f t="shared" si="7"/>
        <v>-122170.50539999998</v>
      </c>
      <c r="D34" s="110">
        <f t="shared" si="7"/>
        <v>70886.784</v>
      </c>
      <c r="E34" s="110">
        <f t="shared" si="7"/>
        <v>400488.99440000003</v>
      </c>
      <c r="F34" s="110">
        <f t="shared" si="7"/>
        <v>675607.83640000015</v>
      </c>
      <c r="G34" s="110">
        <f t="shared" si="7"/>
        <v>895848.80999999994</v>
      </c>
      <c r="H34" s="110">
        <f t="shared" si="7"/>
        <v>950429.17840000009</v>
      </c>
    </row>
    <row r="36" spans="1:8" ht="15" customHeight="1" x14ac:dyDescent="0.35">
      <c r="A36" s="218" t="s">
        <v>354</v>
      </c>
      <c r="B36" s="218"/>
      <c r="C36" s="218"/>
      <c r="D36" s="218"/>
      <c r="E36" s="218"/>
      <c r="F36" s="218"/>
      <c r="G36" s="218"/>
      <c r="H36" s="218"/>
    </row>
    <row r="37" spans="1:8" ht="15" customHeight="1" x14ac:dyDescent="0.35">
      <c r="A37" s="98" t="s">
        <v>355</v>
      </c>
    </row>
    <row r="38" spans="1:8" ht="15" customHeight="1" x14ac:dyDescent="0.35">
      <c r="A38" s="46" t="s">
        <v>324</v>
      </c>
      <c r="B38" s="80">
        <f t="shared" ref="B38:H38" si="8">B12*$B$7</f>
        <v>0</v>
      </c>
      <c r="C38" s="80">
        <f t="shared" si="8"/>
        <v>37.5</v>
      </c>
      <c r="D38" s="80">
        <f t="shared" si="8"/>
        <v>125</v>
      </c>
      <c r="E38" s="80">
        <f t="shared" si="8"/>
        <v>275</v>
      </c>
      <c r="F38" s="80">
        <f t="shared" si="8"/>
        <v>400</v>
      </c>
      <c r="G38" s="80">
        <f t="shared" si="8"/>
        <v>500</v>
      </c>
      <c r="H38" s="80">
        <f t="shared" si="8"/>
        <v>500</v>
      </c>
    </row>
    <row r="39" spans="1:8" ht="15" customHeight="1" x14ac:dyDescent="0.35">
      <c r="A39" s="46" t="s">
        <v>325</v>
      </c>
      <c r="B39" s="81">
        <f t="shared" ref="B39:H39" si="9">B38*$B$6</f>
        <v>0</v>
      </c>
      <c r="C39" s="81">
        <f t="shared" si="9"/>
        <v>34952.71875</v>
      </c>
      <c r="D39" s="81">
        <f t="shared" si="9"/>
        <v>116509.0625</v>
      </c>
      <c r="E39" s="81">
        <f t="shared" si="9"/>
        <v>256319.9375</v>
      </c>
      <c r="F39" s="81">
        <f t="shared" si="9"/>
        <v>372829</v>
      </c>
      <c r="G39" s="81">
        <f t="shared" si="9"/>
        <v>466036.25</v>
      </c>
      <c r="H39" s="81">
        <f t="shared" si="9"/>
        <v>466036.25</v>
      </c>
    </row>
    <row r="40" spans="1:8" ht="15" customHeight="1" x14ac:dyDescent="0.35">
      <c r="A40" s="59" t="s">
        <v>356</v>
      </c>
      <c r="B40" s="102">
        <f>B39</f>
        <v>0</v>
      </c>
      <c r="C40" s="102">
        <f t="shared" ref="C40:H40" si="10">C39-B39</f>
        <v>34952.71875</v>
      </c>
      <c r="D40" s="102">
        <f t="shared" si="10"/>
        <v>81556.34375</v>
      </c>
      <c r="E40" s="102">
        <f t="shared" si="10"/>
        <v>139810.875</v>
      </c>
      <c r="F40" s="102">
        <f t="shared" si="10"/>
        <v>116509.0625</v>
      </c>
      <c r="G40" s="102">
        <f t="shared" si="10"/>
        <v>93207.25</v>
      </c>
      <c r="H40" s="102">
        <f t="shared" si="10"/>
        <v>0</v>
      </c>
    </row>
    <row r="42" spans="1:8" ht="15" customHeight="1" x14ac:dyDescent="0.35">
      <c r="A42" s="213" t="s">
        <v>357</v>
      </c>
      <c r="B42" s="213"/>
      <c r="C42" s="213"/>
      <c r="D42" s="213"/>
      <c r="E42" s="213"/>
      <c r="F42" s="213"/>
      <c r="G42" s="213"/>
      <c r="H42" s="213"/>
    </row>
    <row r="43" spans="1:8" ht="15" customHeight="1" x14ac:dyDescent="0.35">
      <c r="A43" s="46" t="s">
        <v>337</v>
      </c>
      <c r="B43" s="81">
        <f>'Plan Trésorerie Mensuel'!B7</f>
        <v>100000</v>
      </c>
      <c r="C43" s="81">
        <f>SUM('Plan Trésorerie Mensuel'!C7:N9)</f>
        <v>278000</v>
      </c>
      <c r="D43" s="81">
        <f>SUM('Plan Trésorerie Mensuel'!B40:M40)</f>
        <v>50000</v>
      </c>
      <c r="E43" s="81">
        <v>0</v>
      </c>
      <c r="F43" s="81">
        <v>0</v>
      </c>
      <c r="G43" s="81">
        <v>0</v>
      </c>
      <c r="H43" s="81">
        <v>0</v>
      </c>
    </row>
    <row r="44" spans="1:8" ht="15" customHeight="1" x14ac:dyDescent="0.35">
      <c r="A44" s="59" t="s">
        <v>339</v>
      </c>
      <c r="B44" s="106">
        <f>'Plan Trésorerie Mensuel'!B28</f>
        <v>77342.02916666666</v>
      </c>
      <c r="C44" s="106">
        <f>'Plan Trésorerie Mensuel'!O28</f>
        <v>89757.279056666681</v>
      </c>
      <c r="D44" s="106">
        <f>'Plan Trésorerie Mensuel'!M66</f>
        <v>20291.249500000071</v>
      </c>
      <c r="E44" s="106">
        <f>'Plan Trésorerie Mensuel'!Y66</f>
        <v>373928.50358500017</v>
      </c>
      <c r="F44" s="106">
        <f>'Plan Trésorerie Mensuel'!AK66</f>
        <v>641513.69876000006</v>
      </c>
      <c r="G44" s="106">
        <f>'Plan Trésorerie Mensuel'!AW66</f>
        <v>1002429.8772750002</v>
      </c>
      <c r="H44" s="106">
        <f>'Plan Trésorerie Mensuel'!BI66</f>
        <v>1231735.7898100002</v>
      </c>
    </row>
    <row r="45" spans="1:8" ht="17.25" customHeight="1" x14ac:dyDescent="0.35">
      <c r="A45" s="107" t="s">
        <v>67</v>
      </c>
      <c r="B45" s="108">
        <f>B44</f>
        <v>77342.02916666666</v>
      </c>
      <c r="C45" s="108">
        <f>'Plan Trésorerie Mensuel'!N29</f>
        <v>167099.30822333338</v>
      </c>
      <c r="D45" s="108">
        <f t="shared" ref="D45:H45" si="11">C45+D44</f>
        <v>187390.55772333345</v>
      </c>
      <c r="E45" s="108">
        <f t="shared" si="11"/>
        <v>561319.06130833365</v>
      </c>
      <c r="F45" s="108">
        <f t="shared" si="11"/>
        <v>1202832.7600683337</v>
      </c>
      <c r="G45" s="108">
        <f t="shared" si="11"/>
        <v>2205262.637343334</v>
      </c>
      <c r="H45" s="108">
        <f t="shared" si="11"/>
        <v>3436998.427153334</v>
      </c>
    </row>
  </sheetData>
  <mergeCells count="10">
    <mergeCell ref="A1:H1"/>
    <mergeCell ref="A10:H10"/>
    <mergeCell ref="A15:H15"/>
    <mergeCell ref="A18:H18"/>
    <mergeCell ref="A42:H42"/>
    <mergeCell ref="A23:H23"/>
    <mergeCell ref="A27:H27"/>
    <mergeCell ref="A30:H30"/>
    <mergeCell ref="A33:H33"/>
    <mergeCell ref="A36:H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zoomScaleNormal="100" workbookViewId="0">
      <selection activeCell="A52" sqref="A52"/>
    </sheetView>
  </sheetViews>
  <sheetFormatPr baseColWidth="10" defaultColWidth="8.90625" defaultRowHeight="14.5" x14ac:dyDescent="0.35"/>
  <cols>
    <col min="1" max="1" width="48" customWidth="1"/>
    <col min="2" max="8" width="14" customWidth="1"/>
  </cols>
  <sheetData>
    <row r="1" spans="1:9" ht="18" customHeight="1" x14ac:dyDescent="0.45">
      <c r="A1" s="219" t="s">
        <v>358</v>
      </c>
      <c r="B1" s="219"/>
      <c r="C1" s="219"/>
      <c r="D1" s="219"/>
      <c r="E1" s="219"/>
      <c r="F1" s="219"/>
      <c r="G1" s="219"/>
      <c r="H1" s="219"/>
    </row>
    <row r="2" spans="1:9" ht="14.25" customHeight="1" x14ac:dyDescent="0.35">
      <c r="A2" s="220" t="s">
        <v>359</v>
      </c>
      <c r="B2" s="220"/>
      <c r="C2" s="220"/>
      <c r="D2" s="220"/>
      <c r="E2" s="220"/>
      <c r="F2" s="220"/>
      <c r="G2" s="220"/>
      <c r="H2" s="220"/>
    </row>
    <row r="4" spans="1:9" ht="14.25" customHeight="1" x14ac:dyDescent="0.35">
      <c r="A4" s="111"/>
      <c r="B4" s="112">
        <v>2025</v>
      </c>
      <c r="C4" s="112">
        <v>2026</v>
      </c>
      <c r="D4" s="112">
        <v>2027</v>
      </c>
      <c r="E4" s="112">
        <v>2028</v>
      </c>
      <c r="F4" s="112">
        <v>2029</v>
      </c>
      <c r="G4" s="112">
        <v>2030</v>
      </c>
      <c r="H4" s="112">
        <v>2031</v>
      </c>
    </row>
    <row r="6" spans="1:9" ht="14.25" customHeight="1" thickBot="1" x14ac:dyDescent="0.4">
      <c r="A6" s="113" t="s">
        <v>360</v>
      </c>
      <c r="B6" s="114"/>
      <c r="C6" s="114"/>
      <c r="D6" s="114"/>
      <c r="E6" s="114"/>
      <c r="F6" s="114"/>
      <c r="G6" s="114"/>
      <c r="H6" s="114"/>
    </row>
    <row r="7" spans="1:9" ht="14.25" customHeight="1" thickBot="1" x14ac:dyDescent="0.4">
      <c r="A7" t="s">
        <v>361</v>
      </c>
      <c r="B7" s="115">
        <v>0</v>
      </c>
      <c r="C7" s="150">
        <v>36113</v>
      </c>
      <c r="D7" s="150">
        <v>54169</v>
      </c>
      <c r="E7" s="150">
        <v>54169</v>
      </c>
      <c r="F7" s="150">
        <v>54169</v>
      </c>
      <c r="G7" s="150">
        <v>54169</v>
      </c>
      <c r="H7" s="150">
        <v>54169</v>
      </c>
      <c r="I7" s="150"/>
    </row>
    <row r="8" spans="1:9" ht="14.25" customHeight="1" thickBot="1" x14ac:dyDescent="0.4">
      <c r="A8" t="s">
        <v>362</v>
      </c>
      <c r="B8" s="115">
        <v>0</v>
      </c>
      <c r="C8" s="150">
        <v>3333</v>
      </c>
      <c r="D8" s="150">
        <v>5000</v>
      </c>
      <c r="E8" s="150">
        <v>5000</v>
      </c>
      <c r="F8" s="150">
        <v>5000</v>
      </c>
      <c r="G8" s="150">
        <v>5000</v>
      </c>
      <c r="H8" s="150">
        <v>5000</v>
      </c>
    </row>
    <row r="9" spans="1:9" ht="14.25" customHeight="1" x14ac:dyDescent="0.35">
      <c r="A9" s="116" t="s">
        <v>363</v>
      </c>
      <c r="B9" s="117">
        <f>SUM(B7:B8)</f>
        <v>0</v>
      </c>
      <c r="C9" s="117">
        <f>SUM(C7:C8)</f>
        <v>39446</v>
      </c>
      <c r="D9" s="117">
        <f t="shared" ref="D9:H9" si="0">SUM(D7:D8)</f>
        <v>59169</v>
      </c>
      <c r="E9" s="117">
        <f t="shared" si="0"/>
        <v>59169</v>
      </c>
      <c r="F9" s="117">
        <f t="shared" si="0"/>
        <v>59169</v>
      </c>
      <c r="G9" s="117">
        <f t="shared" si="0"/>
        <v>59169</v>
      </c>
      <c r="H9" s="117">
        <f t="shared" si="0"/>
        <v>59169</v>
      </c>
    </row>
    <row r="11" spans="1:9" ht="14.25" customHeight="1" x14ac:dyDescent="0.35">
      <c r="A11" t="s">
        <v>364</v>
      </c>
      <c r="B11" s="115">
        <v>0</v>
      </c>
      <c r="C11" s="115">
        <f>'Compte de Résultat'!C38*'Marges Produits'!$E$45</f>
        <v>34952.71875</v>
      </c>
      <c r="D11" s="115">
        <f>'Compte de Résultat'!D38*'Marges Produits'!$E$45</f>
        <v>116509.0625</v>
      </c>
      <c r="E11" s="115">
        <f>'Compte de Résultat'!E38*'Marges Produits'!$E$45</f>
        <v>256319.9375</v>
      </c>
      <c r="F11" s="115">
        <f>'Compte de Résultat'!F38*'Marges Produits'!$E$45</f>
        <v>372829</v>
      </c>
      <c r="G11" s="115">
        <f>'Compte de Résultat'!G38*'Marges Produits'!$E$45</f>
        <v>466036.25</v>
      </c>
      <c r="H11" s="115">
        <f>'Compte de Résultat'!H38*'Marges Produits'!$E$45</f>
        <v>466036.25</v>
      </c>
    </row>
    <row r="12" spans="1:9" ht="14.25" customHeight="1" x14ac:dyDescent="0.35">
      <c r="A12" t="s">
        <v>365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</row>
    <row r="13" spans="1:9" ht="14.25" customHeight="1" x14ac:dyDescent="0.35">
      <c r="A13" t="s">
        <v>366</v>
      </c>
      <c r="B13" s="115">
        <f>'Plan Trésorerie Mensuel'!B28</f>
        <v>77342.02916666666</v>
      </c>
      <c r="C13" s="115">
        <f>'Plan Trésorerie Mensuel'!N29</f>
        <v>167099.30822333338</v>
      </c>
      <c r="D13" s="115">
        <f>'Plan Trésorerie Mensuel'!M57</f>
        <v>187390.55772333339</v>
      </c>
      <c r="E13" s="115">
        <f>'Plan Trésorerie Mensuel'!Y57</f>
        <v>561319.06130833342</v>
      </c>
      <c r="F13" s="115">
        <f>'Plan Trésorerie Mensuel'!AK57</f>
        <v>1202832.7600683335</v>
      </c>
      <c r="G13" s="115">
        <f>'Plan Trésorerie Mensuel'!AW57</f>
        <v>2205262.637343334</v>
      </c>
      <c r="H13" s="115">
        <f>'Plan Trésorerie Mensuel'!BI57</f>
        <v>3436998.427153335</v>
      </c>
    </row>
    <row r="14" spans="1:9" ht="14.25" customHeight="1" x14ac:dyDescent="0.35">
      <c r="A14" s="116" t="s">
        <v>367</v>
      </c>
      <c r="B14" s="117">
        <f t="shared" ref="B14:H14" si="1">SUM(B11:B13)</f>
        <v>77342.02916666666</v>
      </c>
      <c r="C14" s="117">
        <f t="shared" si="1"/>
        <v>202052.02697333338</v>
      </c>
      <c r="D14" s="117">
        <f t="shared" si="1"/>
        <v>303899.62022333336</v>
      </c>
      <c r="E14" s="117">
        <f t="shared" si="1"/>
        <v>817638.99880833342</v>
      </c>
      <c r="F14" s="117">
        <f t="shared" si="1"/>
        <v>1575661.7600683335</v>
      </c>
      <c r="G14" s="117">
        <f t="shared" si="1"/>
        <v>2671298.887343334</v>
      </c>
      <c r="H14" s="117">
        <f t="shared" si="1"/>
        <v>3903034.677153335</v>
      </c>
    </row>
    <row r="16" spans="1:9" ht="15" customHeight="1" x14ac:dyDescent="0.35">
      <c r="A16" s="118" t="s">
        <v>368</v>
      </c>
      <c r="B16" s="119">
        <f t="shared" ref="B16:H16" si="2">B9+B14</f>
        <v>77342.02916666666</v>
      </c>
      <c r="C16" s="119">
        <f t="shared" si="2"/>
        <v>241498.02697333338</v>
      </c>
      <c r="D16" s="119">
        <f t="shared" si="2"/>
        <v>363068.62022333336</v>
      </c>
      <c r="E16" s="119">
        <f t="shared" si="2"/>
        <v>876807.99880833342</v>
      </c>
      <c r="F16" s="119">
        <f t="shared" si="2"/>
        <v>1634830.7600683335</v>
      </c>
      <c r="G16" s="119">
        <f t="shared" si="2"/>
        <v>2730467.887343334</v>
      </c>
      <c r="H16" s="119">
        <f t="shared" si="2"/>
        <v>3962203.677153335</v>
      </c>
    </row>
    <row r="18" spans="1:8" ht="14.25" customHeight="1" x14ac:dyDescent="0.35">
      <c r="A18" s="113" t="s">
        <v>369</v>
      </c>
      <c r="B18" s="114"/>
      <c r="C18" s="114"/>
      <c r="D18" s="114"/>
      <c r="E18" s="114"/>
      <c r="F18" s="114"/>
      <c r="G18" s="114"/>
      <c r="H18" s="114"/>
    </row>
    <row r="19" spans="1:8" ht="14.25" customHeight="1" x14ac:dyDescent="0.35">
      <c r="A19" t="s">
        <v>6</v>
      </c>
      <c r="B19" s="115">
        <v>100000</v>
      </c>
      <c r="C19" s="115">
        <v>100000</v>
      </c>
      <c r="D19" s="115">
        <v>100000</v>
      </c>
      <c r="E19" s="115">
        <v>100000</v>
      </c>
      <c r="F19" s="115">
        <v>100000</v>
      </c>
      <c r="G19" s="115">
        <v>100000</v>
      </c>
      <c r="H19" s="115">
        <v>100000</v>
      </c>
    </row>
    <row r="20" spans="1:8" ht="14.25" customHeight="1" x14ac:dyDescent="0.35">
      <c r="A20" t="s">
        <v>53</v>
      </c>
      <c r="B20" s="115">
        <v>0</v>
      </c>
      <c r="C20" s="115">
        <v>89000</v>
      </c>
      <c r="D20" s="115">
        <v>89000</v>
      </c>
      <c r="E20" s="115">
        <v>89000</v>
      </c>
      <c r="F20" s="115">
        <v>89000</v>
      </c>
      <c r="G20" s="115">
        <v>89000</v>
      </c>
      <c r="H20" s="115">
        <v>89000</v>
      </c>
    </row>
    <row r="21" spans="1:8" ht="14.25" customHeight="1" x14ac:dyDescent="0.35">
      <c r="A21" t="s">
        <v>370</v>
      </c>
      <c r="B21" s="115">
        <v>0</v>
      </c>
      <c r="C21" s="115">
        <v>0</v>
      </c>
      <c r="D21" s="115">
        <v>50000</v>
      </c>
      <c r="E21" s="115">
        <v>50000</v>
      </c>
      <c r="F21" s="115">
        <v>50000</v>
      </c>
      <c r="G21" s="115">
        <v>50000</v>
      </c>
      <c r="H21" s="115">
        <v>50000</v>
      </c>
    </row>
    <row r="22" spans="1:8" ht="14.25" customHeight="1" x14ac:dyDescent="0.35">
      <c r="A22" t="s">
        <v>371</v>
      </c>
      <c r="B22" s="115">
        <f>'Compte de Résultat'!B34</f>
        <v>-22657.97083333334</v>
      </c>
      <c r="C22" s="115">
        <f>'Compte de Résultat'!C34</f>
        <v>-122170.50539999998</v>
      </c>
      <c r="D22" s="115">
        <f>'Compte de Résultat'!D34</f>
        <v>70886.784</v>
      </c>
      <c r="E22" s="115">
        <f>'Compte de Résultat'!E34</f>
        <v>400488.99440000003</v>
      </c>
      <c r="F22" s="115">
        <f>'Compte de Résultat'!F34</f>
        <v>675607.83640000015</v>
      </c>
      <c r="G22" s="115">
        <f>'Compte de Résultat'!G34</f>
        <v>895848.80999999994</v>
      </c>
      <c r="H22" s="115">
        <f>'Compte de Résultat'!H34</f>
        <v>950429.17840000009</v>
      </c>
    </row>
    <row r="23" spans="1:8" ht="14.25" customHeight="1" x14ac:dyDescent="0.35">
      <c r="A23" t="s">
        <v>372</v>
      </c>
      <c r="B23" s="115">
        <v>0</v>
      </c>
      <c r="C23" s="115">
        <f>B22+C22</f>
        <v>-144828.47623333332</v>
      </c>
      <c r="D23" s="115">
        <f>C22+D22</f>
        <v>-51283.72139999998</v>
      </c>
      <c r="E23" s="115">
        <f t="shared" ref="E23:H23" si="3">D22+E22</f>
        <v>471375.77840000001</v>
      </c>
      <c r="F23" s="115">
        <f t="shared" si="3"/>
        <v>1076096.8308000001</v>
      </c>
      <c r="G23" s="115">
        <f t="shared" si="3"/>
        <v>1571456.6464</v>
      </c>
      <c r="H23" s="115">
        <f t="shared" si="3"/>
        <v>1846277.9884000001</v>
      </c>
    </row>
    <row r="24" spans="1:8" ht="14.25" customHeight="1" x14ac:dyDescent="0.35">
      <c r="A24" s="116" t="s">
        <v>373</v>
      </c>
      <c r="B24" s="117">
        <f t="shared" ref="B24:H24" si="4">B19+B25+B20+B21+B22+B23</f>
        <v>77342.02916666666</v>
      </c>
      <c r="C24" s="117">
        <f t="shared" si="4"/>
        <v>-77998.9816333333</v>
      </c>
      <c r="D24" s="117">
        <f t="shared" si="4"/>
        <v>258603.0626</v>
      </c>
      <c r="E24" s="117">
        <f t="shared" si="4"/>
        <v>1110864.7727999999</v>
      </c>
      <c r="F24" s="117">
        <f t="shared" si="4"/>
        <v>1990704.6672000003</v>
      </c>
      <c r="G24" s="117">
        <f t="shared" si="4"/>
        <v>2706305.4564</v>
      </c>
      <c r="H24" s="117">
        <f t="shared" si="4"/>
        <v>3035707.1668000002</v>
      </c>
    </row>
    <row r="25" spans="1:8" ht="14.25" customHeight="1" x14ac:dyDescent="0.35">
      <c r="A25" s="32" t="s">
        <v>374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ht="14.25" customHeight="1" x14ac:dyDescent="0.35">
      <c r="A26" t="s">
        <v>375</v>
      </c>
      <c r="B26" s="115">
        <v>0</v>
      </c>
      <c r="C26" s="115">
        <f>'Emprunt Bancaire'!D51</f>
        <v>144882</v>
      </c>
      <c r="D26" s="115">
        <f>'Emprunt Bancaire'!D52</f>
        <v>98740</v>
      </c>
      <c r="E26" s="115">
        <f>'Emprunt Bancaire'!D53</f>
        <v>50478</v>
      </c>
      <c r="F26" s="115">
        <v>0</v>
      </c>
      <c r="G26" s="115">
        <v>0</v>
      </c>
      <c r="H26" s="115">
        <v>0</v>
      </c>
    </row>
    <row r="27" spans="1:8" ht="14.25" customHeight="1" x14ac:dyDescent="0.35">
      <c r="A27" t="s">
        <v>376</v>
      </c>
      <c r="B27" s="115">
        <f t="shared" ref="B27:H27" si="5">B16-B24-B26</f>
        <v>0</v>
      </c>
      <c r="C27" s="115">
        <f t="shared" si="5"/>
        <v>174615.0086066667</v>
      </c>
      <c r="D27" s="115">
        <f t="shared" si="5"/>
        <v>5725.5576233333559</v>
      </c>
      <c r="E27" s="115">
        <f t="shared" si="5"/>
        <v>-284534.7739916665</v>
      </c>
      <c r="F27" s="115">
        <f t="shared" si="5"/>
        <v>-355873.90713166678</v>
      </c>
      <c r="G27" s="115">
        <f t="shared" si="5"/>
        <v>24162.430943334009</v>
      </c>
      <c r="H27" s="115">
        <f t="shared" si="5"/>
        <v>926496.51035333471</v>
      </c>
    </row>
    <row r="28" spans="1:8" ht="14.25" customHeight="1" x14ac:dyDescent="0.35">
      <c r="A28" s="116" t="s">
        <v>377</v>
      </c>
      <c r="B28" s="117">
        <f t="shared" ref="B28:H28" si="6">B26+B27</f>
        <v>0</v>
      </c>
      <c r="C28" s="117">
        <f t="shared" si="6"/>
        <v>319497.0086066667</v>
      </c>
      <c r="D28" s="117">
        <f t="shared" si="6"/>
        <v>104465.55762333336</v>
      </c>
      <c r="E28" s="117">
        <f t="shared" si="6"/>
        <v>-234056.7739916665</v>
      </c>
      <c r="F28" s="117">
        <f t="shared" si="6"/>
        <v>-355873.90713166678</v>
      </c>
      <c r="G28" s="117">
        <f t="shared" si="6"/>
        <v>24162.430943334009</v>
      </c>
      <c r="H28" s="117">
        <f t="shared" si="6"/>
        <v>926496.51035333471</v>
      </c>
    </row>
    <row r="30" spans="1:8" ht="15" customHeight="1" x14ac:dyDescent="0.35">
      <c r="A30" s="118" t="s">
        <v>378</v>
      </c>
      <c r="B30" s="119">
        <f t="shared" ref="B30:H30" si="7">B24+B28</f>
        <v>77342.02916666666</v>
      </c>
      <c r="C30" s="119">
        <f t="shared" si="7"/>
        <v>241498.02697333338</v>
      </c>
      <c r="D30" s="119">
        <f t="shared" si="7"/>
        <v>363068.62022333336</v>
      </c>
      <c r="E30" s="119">
        <f t="shared" si="7"/>
        <v>876807.99880833342</v>
      </c>
      <c r="F30" s="119">
        <f t="shared" si="7"/>
        <v>1634830.7600683335</v>
      </c>
      <c r="G30" s="119">
        <f t="shared" si="7"/>
        <v>2730467.887343334</v>
      </c>
      <c r="H30" s="119">
        <f t="shared" si="7"/>
        <v>3962203.677153335</v>
      </c>
    </row>
    <row r="32" spans="1:8" ht="14.25" customHeight="1" x14ac:dyDescent="0.35">
      <c r="A32" s="116"/>
      <c r="B32" s="120">
        <v>0</v>
      </c>
      <c r="C32" s="120">
        <v>0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</row>
    <row r="33" spans="1:8" ht="14.25" customHeight="1" x14ac:dyDescent="0.35">
      <c r="A33" t="s">
        <v>379</v>
      </c>
    </row>
    <row r="34" spans="1:8" ht="14.25" customHeight="1" x14ac:dyDescent="0.35">
      <c r="A34" s="121" t="s">
        <v>380</v>
      </c>
      <c r="B34" s="111"/>
      <c r="C34" s="111"/>
      <c r="D34" s="111"/>
      <c r="E34" s="111"/>
      <c r="F34" s="111"/>
      <c r="G34" s="111"/>
      <c r="H34" s="111"/>
    </row>
    <row r="35" spans="1:8" ht="14.25" customHeight="1" x14ac:dyDescent="0.35">
      <c r="A35" t="s">
        <v>172</v>
      </c>
      <c r="B35" s="122" t="s">
        <v>252</v>
      </c>
      <c r="C35" s="122" t="s">
        <v>187</v>
      </c>
      <c r="D35" s="122" t="s">
        <v>188</v>
      </c>
      <c r="E35" s="122" t="s">
        <v>189</v>
      </c>
      <c r="F35" s="122" t="s">
        <v>190</v>
      </c>
      <c r="G35" s="122" t="s">
        <v>381</v>
      </c>
      <c r="H35" s="122" t="s">
        <v>382</v>
      </c>
    </row>
    <row r="36" spans="1:8" ht="14.25" customHeight="1" x14ac:dyDescent="0.35">
      <c r="A36" t="s">
        <v>383</v>
      </c>
      <c r="B36">
        <f t="shared" ref="B36:H36" si="8">IF(B24=0,"-",ROUND(B28/B24,2))</f>
        <v>0</v>
      </c>
      <c r="C36">
        <f t="shared" si="8"/>
        <v>-4.0999999999999996</v>
      </c>
      <c r="D36">
        <f t="shared" si="8"/>
        <v>0.4</v>
      </c>
      <c r="E36">
        <f t="shared" si="8"/>
        <v>-0.21</v>
      </c>
      <c r="F36">
        <f t="shared" si="8"/>
        <v>-0.18</v>
      </c>
      <c r="G36">
        <f t="shared" si="8"/>
        <v>0.01</v>
      </c>
      <c r="H36">
        <f t="shared" si="8"/>
        <v>0.31</v>
      </c>
    </row>
    <row r="37" spans="1:8" ht="14.25" customHeight="1" x14ac:dyDescent="0.35">
      <c r="A37" t="s">
        <v>384</v>
      </c>
      <c r="B37" s="115" t="str">
        <f t="shared" ref="B37:H37" si="9">IF(B30=0,"-",ROUND(B24/B30*100,1)&amp;"%")</f>
        <v>100%</v>
      </c>
      <c r="C37" s="115" t="str">
        <f t="shared" si="9"/>
        <v>-32,3%</v>
      </c>
      <c r="D37" s="115" t="str">
        <f t="shared" si="9"/>
        <v>71,2%</v>
      </c>
      <c r="E37" s="115" t="str">
        <f t="shared" si="9"/>
        <v>126,7%</v>
      </c>
      <c r="F37" s="115" t="str">
        <f t="shared" si="9"/>
        <v>121,8%</v>
      </c>
      <c r="G37" s="115" t="str">
        <f t="shared" si="9"/>
        <v>99,1%</v>
      </c>
      <c r="H37" s="115" t="str">
        <f t="shared" si="9"/>
        <v>76,6%</v>
      </c>
    </row>
    <row r="38" spans="1:8" ht="14.25" customHeight="1" x14ac:dyDescent="0.35">
      <c r="A38" t="s">
        <v>385</v>
      </c>
      <c r="B38" s="115">
        <f t="shared" ref="B38:H38" si="10">ROUND(B13/1000,0)</f>
        <v>77</v>
      </c>
      <c r="C38" s="115">
        <f t="shared" si="10"/>
        <v>167</v>
      </c>
      <c r="D38" s="115">
        <f t="shared" si="10"/>
        <v>187</v>
      </c>
      <c r="E38" s="115">
        <f t="shared" si="10"/>
        <v>561</v>
      </c>
      <c r="F38" s="115">
        <f t="shared" si="10"/>
        <v>1203</v>
      </c>
      <c r="G38" s="115">
        <f t="shared" si="10"/>
        <v>2205</v>
      </c>
      <c r="H38" s="115">
        <f t="shared" si="10"/>
        <v>3437</v>
      </c>
    </row>
    <row r="39" spans="1:8" ht="14.25" customHeight="1" x14ac:dyDescent="0.35"/>
    <row r="40" spans="1:8" ht="14.25" customHeight="1" x14ac:dyDescent="0.35">
      <c r="A40" s="116" t="s">
        <v>379</v>
      </c>
    </row>
    <row r="41" spans="1:8" ht="14.25" customHeight="1" x14ac:dyDescent="0.35">
      <c r="A41" s="30" t="s">
        <v>386</v>
      </c>
    </row>
    <row r="42" spans="1:8" ht="14.25" customHeight="1" x14ac:dyDescent="0.35">
      <c r="A42" t="s">
        <v>172</v>
      </c>
      <c r="B42" s="30" t="s">
        <v>252</v>
      </c>
      <c r="C42" s="30" t="s">
        <v>187</v>
      </c>
      <c r="D42" s="30" t="s">
        <v>188</v>
      </c>
      <c r="E42" s="30" t="s">
        <v>189</v>
      </c>
      <c r="F42" s="30" t="s">
        <v>190</v>
      </c>
      <c r="G42" s="30" t="s">
        <v>381</v>
      </c>
      <c r="H42" s="30" t="s">
        <v>382</v>
      </c>
    </row>
    <row r="43" spans="1:8" ht="14.25" customHeight="1" x14ac:dyDescent="0.35">
      <c r="A43" t="s">
        <v>387</v>
      </c>
      <c r="B43" s="36">
        <f t="shared" ref="B43:H43" si="11">B26</f>
        <v>0</v>
      </c>
      <c r="C43" s="36">
        <f t="shared" si="11"/>
        <v>144882</v>
      </c>
      <c r="D43" s="36">
        <f t="shared" si="11"/>
        <v>98740</v>
      </c>
      <c r="E43" s="36">
        <f t="shared" si="11"/>
        <v>50478</v>
      </c>
      <c r="F43" s="36">
        <f t="shared" si="11"/>
        <v>0</v>
      </c>
      <c r="G43" s="36">
        <f t="shared" si="11"/>
        <v>0</v>
      </c>
      <c r="H43" s="36">
        <f t="shared" si="11"/>
        <v>0</v>
      </c>
    </row>
    <row r="44" spans="1:8" ht="14.25" customHeight="1" x14ac:dyDescent="0.35">
      <c r="A44" t="s">
        <v>388</v>
      </c>
      <c r="B44">
        <f t="shared" ref="B44" si="12">ROUND(B11*0.05,0)</f>
        <v>0</v>
      </c>
      <c r="C44">
        <f>ROUND(C11*(3/52),0)</f>
        <v>2017</v>
      </c>
      <c r="D44">
        <f t="shared" ref="D44:H44" si="13">ROUND(D11*(3/52),0)</f>
        <v>6722</v>
      </c>
      <c r="E44">
        <f t="shared" si="13"/>
        <v>14788</v>
      </c>
      <c r="F44">
        <f t="shared" si="13"/>
        <v>21509</v>
      </c>
      <c r="G44">
        <f t="shared" si="13"/>
        <v>26887</v>
      </c>
      <c r="H44">
        <f t="shared" si="13"/>
        <v>26887</v>
      </c>
    </row>
    <row r="45" spans="1:8" ht="14.25" customHeight="1" x14ac:dyDescent="0.35">
      <c r="A45" t="s">
        <v>389</v>
      </c>
      <c r="B45">
        <f>ROUND('Charges Fixes Plume'!D44/12,0)</f>
        <v>16313</v>
      </c>
      <c r="C45">
        <f>ROUND('Charges Fixes Plume'!D44/12,0)</f>
        <v>16313</v>
      </c>
      <c r="D45">
        <f>ROUND('Charges Fixes Plume'!D44/12,0)</f>
        <v>16313</v>
      </c>
      <c r="E45">
        <f>ROUND('Charges Fixes Plume'!D44/12,0)</f>
        <v>16313</v>
      </c>
      <c r="F45">
        <f>ROUND('Charges Fixes Plume'!D44/12,0)</f>
        <v>16313</v>
      </c>
      <c r="G45">
        <f>ROUND('Charges Fixes Plume'!D44/12,0)</f>
        <v>16313</v>
      </c>
      <c r="H45">
        <f>ROUND('Charges Fixes Plume'!D44/12,0)</f>
        <v>16313</v>
      </c>
    </row>
    <row r="46" spans="1:8" ht="14.25" customHeight="1" x14ac:dyDescent="0.35">
      <c r="A46" t="s">
        <v>390</v>
      </c>
      <c r="B46" s="143">
        <f>('Compte de Résultat'!B13*0.015)</f>
        <v>0</v>
      </c>
      <c r="C46" s="143">
        <f>('Compte de Résultat'!C13*0.015)</f>
        <v>2797.4998125000002</v>
      </c>
      <c r="D46" s="143">
        <f>('Compte de Résultat'!D13*0.015)</f>
        <v>9324.9993750000012</v>
      </c>
      <c r="E46" s="143">
        <f>('Compte de Résultat'!E13*0.015)</f>
        <v>20514.998625000004</v>
      </c>
      <c r="F46" s="143">
        <f>('Compte de Résultat'!F13*0.015)</f>
        <v>29839.998000000003</v>
      </c>
      <c r="G46" s="143">
        <f>('Compte de Résultat'!G13*0.015)</f>
        <v>37299.997500000005</v>
      </c>
      <c r="H46" s="143">
        <f>('Compte de Résultat'!H13*0.015)</f>
        <v>39164.997375000006</v>
      </c>
    </row>
    <row r="47" spans="1:8" ht="14.25" customHeight="1" x14ac:dyDescent="0.35">
      <c r="A47" s="30" t="s">
        <v>377</v>
      </c>
      <c r="B47" s="36">
        <f>SUM(B43:B46)</f>
        <v>16313</v>
      </c>
      <c r="C47" s="36">
        <f t="shared" ref="C47:H47" si="14">SUM(C43:C46)</f>
        <v>166009.4998125</v>
      </c>
      <c r="D47" s="36">
        <f t="shared" si="14"/>
        <v>131099.99937500001</v>
      </c>
      <c r="E47" s="36">
        <f t="shared" si="14"/>
        <v>102093.99862500001</v>
      </c>
      <c r="F47" s="36">
        <f t="shared" si="14"/>
        <v>67661.998000000007</v>
      </c>
      <c r="G47" s="36">
        <f t="shared" si="14"/>
        <v>80499.997499999998</v>
      </c>
      <c r="H47" s="36">
        <f t="shared" si="14"/>
        <v>82364.997375000006</v>
      </c>
    </row>
    <row r="48" spans="1:8" ht="14.25" customHeight="1" x14ac:dyDescent="0.35"/>
    <row r="49" spans="1:1" ht="14.25" customHeight="1" x14ac:dyDescent="0.35">
      <c r="A49" t="s">
        <v>379</v>
      </c>
    </row>
    <row r="50" spans="1:1" ht="14.25" customHeight="1" x14ac:dyDescent="0.35">
      <c r="A50" s="30" t="s">
        <v>391</v>
      </c>
    </row>
    <row r="51" spans="1:1" ht="14.25" customHeight="1" x14ac:dyDescent="0.35">
      <c r="A51" t="s">
        <v>392</v>
      </c>
    </row>
    <row r="52" spans="1:1" ht="14.25" customHeight="1" x14ac:dyDescent="0.35">
      <c r="A52" t="s">
        <v>393</v>
      </c>
    </row>
    <row r="53" spans="1:1" ht="14.25" customHeight="1" x14ac:dyDescent="0.35">
      <c r="A53" t="s">
        <v>394</v>
      </c>
    </row>
    <row r="54" spans="1:1" ht="14.25" customHeight="1" x14ac:dyDescent="0.35">
      <c r="A54" t="s">
        <v>395</v>
      </c>
    </row>
    <row r="55" spans="1:1" ht="14.25" customHeight="1" x14ac:dyDescent="0.35">
      <c r="A55" t="s">
        <v>396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zoomScaleNormal="100" workbookViewId="0">
      <selection activeCell="C28" sqref="C28"/>
    </sheetView>
  </sheetViews>
  <sheetFormatPr baseColWidth="10" defaultColWidth="8.6328125" defaultRowHeight="14.5" x14ac:dyDescent="0.35"/>
  <cols>
    <col min="1" max="1" width="55" customWidth="1"/>
    <col min="2" max="8" width="14" customWidth="1"/>
  </cols>
  <sheetData>
    <row r="1" spans="1:8" ht="19.5" customHeight="1" x14ac:dyDescent="0.4">
      <c r="A1" s="194" t="s">
        <v>304</v>
      </c>
      <c r="B1" s="194"/>
      <c r="C1" s="194"/>
      <c r="D1" s="194"/>
      <c r="E1" s="194"/>
      <c r="F1" s="194"/>
      <c r="G1" s="194"/>
      <c r="H1" s="194"/>
    </row>
    <row r="3" spans="1:8" ht="15" customHeight="1" x14ac:dyDescent="0.35">
      <c r="A3" s="222" t="s">
        <v>305</v>
      </c>
      <c r="B3" s="222"/>
      <c r="C3" s="222"/>
    </row>
    <row r="4" spans="1:8" ht="15" customHeight="1" x14ac:dyDescent="0.35">
      <c r="A4" s="46" t="s">
        <v>402</v>
      </c>
      <c r="B4" s="94">
        <f>'Marges Produits'!C45</f>
        <v>2486.6665000000003</v>
      </c>
    </row>
    <row r="5" spans="1:8" ht="15" customHeight="1" x14ac:dyDescent="0.35">
      <c r="A5" s="46" t="s">
        <v>403</v>
      </c>
      <c r="B5" s="94">
        <f>'Marges Produits'!D45</f>
        <v>1111.5007000000001</v>
      </c>
    </row>
    <row r="6" spans="1:8" ht="15" customHeight="1" x14ac:dyDescent="0.35">
      <c r="A6" s="46" t="s">
        <v>306</v>
      </c>
      <c r="B6" s="94">
        <f>'Marges Produits'!E45</f>
        <v>932.07249999999999</v>
      </c>
    </row>
    <row r="7" spans="1:8" ht="15" customHeight="1" x14ac:dyDescent="0.35">
      <c r="A7" s="46" t="s">
        <v>307</v>
      </c>
      <c r="B7" s="94">
        <f>B4*0.008</f>
        <v>19.893332000000001</v>
      </c>
    </row>
    <row r="8" spans="1:8" ht="15" customHeight="1" x14ac:dyDescent="0.35">
      <c r="A8" s="46" t="s">
        <v>308</v>
      </c>
      <c r="B8" s="71">
        <f>B5-B7</f>
        <v>1091.607368</v>
      </c>
    </row>
    <row r="9" spans="1:8" ht="15" customHeight="1" x14ac:dyDescent="0.35">
      <c r="A9" s="46" t="s">
        <v>309</v>
      </c>
      <c r="B9" s="95">
        <v>0.5</v>
      </c>
    </row>
    <row r="10" spans="1:8" ht="15" customHeight="1" x14ac:dyDescent="0.35">
      <c r="A10" s="46" t="s">
        <v>310</v>
      </c>
      <c r="B10" s="57">
        <f>'Charges Fixes Plume'!D37+'Charges Fixes Plume'!C28+'Charges Fixes Plume'!D13</f>
        <v>195758.55799999999</v>
      </c>
    </row>
    <row r="11" spans="1:8" ht="15" customHeight="1" x14ac:dyDescent="0.35">
      <c r="A11" s="46"/>
      <c r="B11" s="57"/>
    </row>
    <row r="13" spans="1:8" ht="15" customHeight="1" x14ac:dyDescent="0.35">
      <c r="A13" s="222" t="s">
        <v>311</v>
      </c>
      <c r="B13" s="222"/>
      <c r="C13" s="222"/>
      <c r="D13" s="222"/>
      <c r="E13" s="222"/>
      <c r="F13" s="222"/>
      <c r="G13" s="222"/>
      <c r="H13" s="222"/>
    </row>
    <row r="14" spans="1:8" ht="15" customHeight="1" x14ac:dyDescent="0.35">
      <c r="A14" s="73" t="s">
        <v>172</v>
      </c>
      <c r="B14" s="56">
        <v>2025</v>
      </c>
      <c r="C14" s="56">
        <v>2026</v>
      </c>
      <c r="D14" s="56">
        <v>2027</v>
      </c>
      <c r="E14" s="56">
        <v>2028</v>
      </c>
      <c r="F14" s="56">
        <v>2029</v>
      </c>
      <c r="G14" s="56">
        <v>2030</v>
      </c>
      <c r="H14" s="56">
        <v>2031</v>
      </c>
    </row>
    <row r="15" spans="1:8" ht="15" customHeight="1" x14ac:dyDescent="0.35">
      <c r="A15" s="46" t="s">
        <v>312</v>
      </c>
      <c r="B15" s="96">
        <v>0</v>
      </c>
      <c r="C15" s="81">
        <f>'Charges Fixes Plume'!$D$44</f>
        <v>195758.55799999999</v>
      </c>
      <c r="D15" s="81">
        <f>'Charges Fixes Plume'!$D$44</f>
        <v>195758.55799999999</v>
      </c>
      <c r="E15" s="81">
        <f>'Charges Fixes Plume'!$D$44</f>
        <v>195758.55799999999</v>
      </c>
      <c r="F15" s="81">
        <f>'Charges Fixes Plume'!$D$44</f>
        <v>195758.55799999999</v>
      </c>
      <c r="G15" s="81">
        <f>'Charges Fixes Plume'!$D$44</f>
        <v>195758.55799999999</v>
      </c>
      <c r="H15" s="81">
        <f>'Charges Fixes Plume'!$D$44</f>
        <v>195758.55799999999</v>
      </c>
    </row>
    <row r="16" spans="1:8" ht="15" customHeight="1" x14ac:dyDescent="0.35">
      <c r="A16" s="46" t="s">
        <v>313</v>
      </c>
      <c r="B16" s="96">
        <v>0</v>
      </c>
      <c r="C16" s="81">
        <f>'Emprunt Bancaire'!B35</f>
        <v>7602</v>
      </c>
      <c r="D16" s="81">
        <f>'Emprunt Bancaire'!B36</f>
        <v>5576</v>
      </c>
      <c r="E16" s="81">
        <f>'Emprunt Bancaire'!B37</f>
        <v>3456</v>
      </c>
      <c r="F16" s="81">
        <f>'Emprunt Bancaire'!B38</f>
        <v>1239</v>
      </c>
      <c r="G16" s="96">
        <v>0</v>
      </c>
      <c r="H16" s="96">
        <v>0</v>
      </c>
    </row>
    <row r="17" spans="1:8" ht="15" customHeight="1" x14ac:dyDescent="0.35">
      <c r="A17" s="59" t="s">
        <v>314</v>
      </c>
      <c r="B17" s="97">
        <f t="shared" ref="B17:H17" si="0">B15+B16</f>
        <v>0</v>
      </c>
      <c r="C17" s="97">
        <f t="shared" si="0"/>
        <v>203360.55799999999</v>
      </c>
      <c r="D17" s="97">
        <f t="shared" si="0"/>
        <v>201334.55799999999</v>
      </c>
      <c r="E17" s="97">
        <f t="shared" si="0"/>
        <v>199214.55799999999</v>
      </c>
      <c r="F17" s="97">
        <f t="shared" si="0"/>
        <v>196997.55799999999</v>
      </c>
      <c r="G17" s="97">
        <f t="shared" si="0"/>
        <v>195758.55799999999</v>
      </c>
      <c r="H17" s="97">
        <f t="shared" si="0"/>
        <v>195758.55799999999</v>
      </c>
    </row>
    <row r="19" spans="1:8" ht="15" customHeight="1" x14ac:dyDescent="0.35">
      <c r="A19" s="223" t="s">
        <v>315</v>
      </c>
      <c r="B19" s="223"/>
      <c r="C19" s="223"/>
      <c r="D19" s="223"/>
      <c r="E19" s="223"/>
      <c r="F19" s="223"/>
      <c r="G19" s="223"/>
      <c r="H19" s="223"/>
    </row>
    <row r="20" spans="1:8" ht="15" customHeight="1" x14ac:dyDescent="0.35">
      <c r="A20" s="98" t="s">
        <v>316</v>
      </c>
    </row>
    <row r="21" spans="1:8" ht="17.25" customHeight="1" x14ac:dyDescent="0.35">
      <c r="A21" s="59" t="s">
        <v>317</v>
      </c>
      <c r="B21" s="99">
        <f t="shared" ref="B21:H21" si="1">IF(B17=0,0,ROUNDUP(B17/$B$8,0))</f>
        <v>0</v>
      </c>
      <c r="C21" s="99">
        <f>IF(C17=0,0,ROUNDUP(C17/$B$8,0))</f>
        <v>187</v>
      </c>
      <c r="D21" s="99">
        <f t="shared" si="1"/>
        <v>185</v>
      </c>
      <c r="E21" s="99">
        <f t="shared" si="1"/>
        <v>183</v>
      </c>
      <c r="F21" s="99">
        <f t="shared" si="1"/>
        <v>181</v>
      </c>
      <c r="G21" s="99">
        <f t="shared" si="1"/>
        <v>180</v>
      </c>
      <c r="H21" s="99">
        <f t="shared" si="1"/>
        <v>180</v>
      </c>
    </row>
    <row r="23" spans="1:8" ht="15" customHeight="1" x14ac:dyDescent="0.35">
      <c r="A23" s="224" t="s">
        <v>318</v>
      </c>
      <c r="B23" s="224"/>
      <c r="C23" s="224"/>
      <c r="D23" s="224"/>
      <c r="E23" s="224"/>
      <c r="F23" s="224"/>
      <c r="G23" s="224"/>
      <c r="H23" s="224"/>
    </row>
    <row r="24" spans="1:8" ht="15" customHeight="1" x14ac:dyDescent="0.35">
      <c r="A24" s="46" t="s">
        <v>319</v>
      </c>
      <c r="B24" s="100">
        <f t="shared" ref="B24:H24" si="2">B21</f>
        <v>0</v>
      </c>
      <c r="C24" s="100">
        <f t="shared" si="2"/>
        <v>187</v>
      </c>
      <c r="D24" s="100">
        <f t="shared" si="2"/>
        <v>185</v>
      </c>
      <c r="E24" s="100">
        <f t="shared" si="2"/>
        <v>183</v>
      </c>
      <c r="F24" s="100">
        <f t="shared" si="2"/>
        <v>181</v>
      </c>
      <c r="G24" s="100">
        <f t="shared" si="2"/>
        <v>180</v>
      </c>
      <c r="H24" s="100">
        <f t="shared" si="2"/>
        <v>180</v>
      </c>
    </row>
    <row r="25" spans="1:8" ht="15" customHeight="1" x14ac:dyDescent="0.35">
      <c r="A25" s="46" t="s">
        <v>320</v>
      </c>
      <c r="B25" s="77">
        <f>Scénarios!B16</f>
        <v>0</v>
      </c>
      <c r="C25" s="77">
        <f>Scénarios!C16</f>
        <v>75</v>
      </c>
      <c r="D25" s="77">
        <f>Scénarios!D16</f>
        <v>250</v>
      </c>
      <c r="E25" s="77">
        <f>Scénarios!E16</f>
        <v>550</v>
      </c>
      <c r="F25" s="77">
        <f>Scénarios!F16</f>
        <v>800</v>
      </c>
      <c r="G25" s="77">
        <f>Scénarios!G16</f>
        <v>1000</v>
      </c>
      <c r="H25" s="77">
        <f>Scénarios!H16</f>
        <v>1000</v>
      </c>
    </row>
    <row r="26" spans="1:8" ht="15" customHeight="1" x14ac:dyDescent="0.35">
      <c r="A26" s="46"/>
      <c r="B26" s="75"/>
      <c r="C26" s="75"/>
      <c r="D26" s="75"/>
      <c r="E26" s="75"/>
      <c r="F26" s="75"/>
      <c r="G26" s="75"/>
      <c r="H26" s="75"/>
    </row>
    <row r="27" spans="1:8" ht="15" customHeight="1" x14ac:dyDescent="0.35">
      <c r="A27" s="46" t="s">
        <v>321</v>
      </c>
      <c r="B27" s="101">
        <f t="shared" ref="B27:H27" si="3">B25-B21</f>
        <v>0</v>
      </c>
      <c r="C27" s="101">
        <f>C25-C21</f>
        <v>-112</v>
      </c>
      <c r="D27" s="101">
        <f t="shared" si="3"/>
        <v>65</v>
      </c>
      <c r="E27" s="101">
        <f t="shared" si="3"/>
        <v>367</v>
      </c>
      <c r="F27" s="101">
        <f t="shared" si="3"/>
        <v>619</v>
      </c>
      <c r="G27" s="101">
        <f t="shared" si="3"/>
        <v>820</v>
      </c>
      <c r="H27" s="101">
        <f t="shared" si="3"/>
        <v>820</v>
      </c>
    </row>
    <row r="29" spans="1:8" ht="15" customHeight="1" x14ac:dyDescent="0.35">
      <c r="A29" s="221" t="s">
        <v>322</v>
      </c>
      <c r="B29" s="221"/>
      <c r="C29" s="221"/>
      <c r="D29" s="221"/>
      <c r="E29" s="221"/>
      <c r="F29" s="221"/>
      <c r="G29" s="221"/>
      <c r="H29" s="221"/>
    </row>
    <row r="30" spans="1:8" ht="15" customHeight="1" x14ac:dyDescent="0.35">
      <c r="A30" s="98" t="s">
        <v>323</v>
      </c>
    </row>
    <row r="31" spans="1:8" ht="15" customHeight="1" x14ac:dyDescent="0.35">
      <c r="A31" s="46" t="s">
        <v>324</v>
      </c>
      <c r="B31" s="80">
        <f t="shared" ref="B31:H31" si="4">B25*$B$9</f>
        <v>0</v>
      </c>
      <c r="C31" s="80">
        <f t="shared" si="4"/>
        <v>37.5</v>
      </c>
      <c r="D31" s="80">
        <f t="shared" si="4"/>
        <v>125</v>
      </c>
      <c r="E31" s="80">
        <f t="shared" si="4"/>
        <v>275</v>
      </c>
      <c r="F31" s="80">
        <f t="shared" si="4"/>
        <v>400</v>
      </c>
      <c r="G31" s="80">
        <f t="shared" si="4"/>
        <v>500</v>
      </c>
      <c r="H31" s="80">
        <f t="shared" si="4"/>
        <v>500</v>
      </c>
    </row>
    <row r="32" spans="1:8" ht="15" customHeight="1" x14ac:dyDescent="0.35">
      <c r="A32" s="46" t="s">
        <v>325</v>
      </c>
      <c r="B32" s="81">
        <f t="shared" ref="B32:H32" si="5">B31*$B$6</f>
        <v>0</v>
      </c>
      <c r="C32" s="81">
        <f t="shared" si="5"/>
        <v>34952.71875</v>
      </c>
      <c r="D32" s="81">
        <f t="shared" si="5"/>
        <v>116509.0625</v>
      </c>
      <c r="E32" s="81">
        <f t="shared" si="5"/>
        <v>256319.9375</v>
      </c>
      <c r="F32" s="81">
        <f t="shared" si="5"/>
        <v>372829</v>
      </c>
      <c r="G32" s="81">
        <f t="shared" si="5"/>
        <v>466036.25</v>
      </c>
      <c r="H32" s="81">
        <f t="shared" si="5"/>
        <v>466036.25</v>
      </c>
    </row>
    <row r="33" spans="1:8" ht="15" customHeight="1" x14ac:dyDescent="0.35">
      <c r="A33" s="59" t="s">
        <v>326</v>
      </c>
      <c r="B33" s="102">
        <f>B32</f>
        <v>0</v>
      </c>
      <c r="C33" s="102">
        <f t="shared" ref="C33:H33" si="6">C32-B32</f>
        <v>34952.71875</v>
      </c>
      <c r="D33" s="102">
        <f t="shared" si="6"/>
        <v>81556.34375</v>
      </c>
      <c r="E33" s="102">
        <f t="shared" si="6"/>
        <v>139810.875</v>
      </c>
      <c r="F33" s="102">
        <f t="shared" si="6"/>
        <v>116509.0625</v>
      </c>
      <c r="G33" s="102">
        <f t="shared" si="6"/>
        <v>93207.25</v>
      </c>
      <c r="H33" s="102">
        <f t="shared" si="6"/>
        <v>0</v>
      </c>
    </row>
    <row r="35" spans="1:8" ht="15" customHeight="1" x14ac:dyDescent="0.35">
      <c r="A35" s="2" t="s">
        <v>327</v>
      </c>
    </row>
    <row r="36" spans="1:8" ht="15" customHeight="1" x14ac:dyDescent="0.35">
      <c r="A36" s="103" t="s">
        <v>328</v>
      </c>
    </row>
  </sheetData>
  <mergeCells count="6">
    <mergeCell ref="A29:H29"/>
    <mergeCell ref="A1:H1"/>
    <mergeCell ref="A3:C3"/>
    <mergeCell ref="A13:H13"/>
    <mergeCell ref="A19:H19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9"/>
  <sheetViews>
    <sheetView zoomScaleNormal="100" workbookViewId="0">
      <selection activeCell="K26" sqref="K26"/>
    </sheetView>
  </sheetViews>
  <sheetFormatPr baseColWidth="10" defaultColWidth="8.6328125" defaultRowHeight="14.5" x14ac:dyDescent="0.35"/>
  <cols>
    <col min="1" max="1" width="50" customWidth="1"/>
    <col min="2" max="2" width="14" customWidth="1"/>
    <col min="3" max="3" width="21.54296875" bestFit="1" customWidth="1"/>
    <col min="4" max="8" width="14" customWidth="1"/>
  </cols>
  <sheetData>
    <row r="1" spans="1:8" ht="19.5" customHeight="1" x14ac:dyDescent="0.4">
      <c r="A1" s="225" t="s">
        <v>329</v>
      </c>
      <c r="B1" s="225"/>
      <c r="C1" s="225"/>
      <c r="D1" s="225"/>
      <c r="E1" s="225"/>
      <c r="F1" s="225"/>
      <c r="G1" s="225"/>
      <c r="H1" s="225"/>
    </row>
    <row r="2" spans="1:8" ht="15" customHeight="1" x14ac:dyDescent="0.35">
      <c r="A2" s="42" t="s">
        <v>330</v>
      </c>
    </row>
    <row r="4" spans="1:8" ht="15" customHeight="1" x14ac:dyDescent="0.35">
      <c r="A4" s="222" t="s">
        <v>331</v>
      </c>
      <c r="B4" s="222"/>
      <c r="C4" s="222"/>
    </row>
    <row r="5" spans="1:8" ht="15" customHeight="1" x14ac:dyDescent="0.35">
      <c r="A5" s="46" t="s">
        <v>332</v>
      </c>
      <c r="B5" s="94">
        <f>'Seuil Rentabilité'!B8</f>
        <v>1091.607368</v>
      </c>
    </row>
    <row r="6" spans="1:8" ht="15" customHeight="1" x14ac:dyDescent="0.35">
      <c r="A6" s="46" t="s">
        <v>306</v>
      </c>
      <c r="B6" s="94">
        <f>'Seuil Rentabilité'!B6</f>
        <v>932.07249999999999</v>
      </c>
    </row>
    <row r="7" spans="1:8" ht="15" customHeight="1" x14ac:dyDescent="0.35">
      <c r="A7" s="46" t="s">
        <v>333</v>
      </c>
      <c r="B7" s="95">
        <v>0.5</v>
      </c>
    </row>
    <row r="8" spans="1:8" ht="15" customHeight="1" x14ac:dyDescent="0.35">
      <c r="A8" s="46" t="s">
        <v>334</v>
      </c>
      <c r="B8" s="57">
        <f>'Charges Fixes Plume'!D44</f>
        <v>195758.55799999999</v>
      </c>
    </row>
    <row r="9" spans="1:8" ht="15" customHeight="1" x14ac:dyDescent="0.35">
      <c r="A9" s="46" t="s">
        <v>63</v>
      </c>
      <c r="B9" s="57">
        <f>'Emprunt Bancaire'!D11</f>
        <v>52400</v>
      </c>
    </row>
    <row r="10" spans="1:8" ht="15" customHeight="1" x14ac:dyDescent="0.35">
      <c r="A10" s="46" t="s">
        <v>335</v>
      </c>
      <c r="B10" s="104">
        <f>B5-B7*B6</f>
        <v>625.57111799999996</v>
      </c>
    </row>
    <row r="12" spans="1:8" ht="15" customHeight="1" x14ac:dyDescent="0.35">
      <c r="A12" s="226" t="s">
        <v>336</v>
      </c>
      <c r="B12" s="226"/>
      <c r="C12" s="226"/>
      <c r="D12" s="226"/>
      <c r="E12" s="226"/>
      <c r="F12" s="226"/>
      <c r="G12" s="226"/>
      <c r="H12" s="226"/>
    </row>
    <row r="13" spans="1:8" ht="15" customHeight="1" x14ac:dyDescent="0.35">
      <c r="A13" s="73" t="s">
        <v>172</v>
      </c>
      <c r="B13" s="56">
        <v>2025</v>
      </c>
      <c r="C13" s="56">
        <v>2026</v>
      </c>
      <c r="D13" s="56">
        <v>2027</v>
      </c>
      <c r="E13" s="56">
        <v>2028</v>
      </c>
      <c r="F13" s="56">
        <v>2029</v>
      </c>
      <c r="G13" s="56">
        <v>2030</v>
      </c>
      <c r="H13" s="56">
        <v>2031</v>
      </c>
    </row>
    <row r="14" spans="1:8" ht="15" customHeight="1" x14ac:dyDescent="0.35">
      <c r="A14" s="46" t="s">
        <v>337</v>
      </c>
      <c r="B14" s="83">
        <f>'Plan Trésorerie Mensuel'!B13</f>
        <v>100000</v>
      </c>
      <c r="C14" s="105">
        <f>SUM('Plan Trésorerie Mensuel'!C8:N9)</f>
        <v>278000</v>
      </c>
      <c r="D14" s="83">
        <v>50000</v>
      </c>
      <c r="E14" s="105">
        <v>0</v>
      </c>
      <c r="F14" s="105">
        <v>0</v>
      </c>
      <c r="G14" s="105">
        <v>0</v>
      </c>
      <c r="H14" s="105">
        <v>0</v>
      </c>
    </row>
    <row r="15" spans="1:8" x14ac:dyDescent="0.35">
      <c r="A15" s="165" t="s">
        <v>425</v>
      </c>
      <c r="B15" s="166">
        <v>10000</v>
      </c>
      <c r="C15" s="166">
        <f>'Charges Fixes Plume'!$D$44</f>
        <v>195758.55799999999</v>
      </c>
      <c r="D15" s="166">
        <f>'Charges Fixes Plume'!$D$44</f>
        <v>195758.55799999999</v>
      </c>
      <c r="E15" s="166">
        <f>'Charges Fixes Plume'!$D$44</f>
        <v>195758.55799999999</v>
      </c>
      <c r="F15" s="166">
        <f>'Charges Fixes Plume'!$D$44</f>
        <v>195758.55799999999</v>
      </c>
      <c r="G15" s="166">
        <f>'Charges Fixes Plume'!$D$44</f>
        <v>195758.55799999999</v>
      </c>
      <c r="H15" s="166">
        <f>'Charges Fixes Plume'!$D$44</f>
        <v>195758.55799999999</v>
      </c>
    </row>
    <row r="16" spans="1:8" ht="15" customHeight="1" x14ac:dyDescent="0.35">
      <c r="A16" s="165" t="s">
        <v>426</v>
      </c>
      <c r="B16" s="166">
        <v>0</v>
      </c>
      <c r="C16" s="166">
        <f>'Emprunt Bancaire'!D11/12*9</f>
        <v>39300</v>
      </c>
      <c r="D16" s="166">
        <f>'Emprunt Bancaire'!$D$11</f>
        <v>52400</v>
      </c>
      <c r="E16" s="166">
        <f>'Emprunt Bancaire'!$D$11</f>
        <v>52400</v>
      </c>
      <c r="F16" s="166">
        <f>'Emprunt Bancaire'!$D$11</f>
        <v>52400</v>
      </c>
      <c r="G16" s="166">
        <v>0</v>
      </c>
      <c r="H16" s="166">
        <v>0</v>
      </c>
    </row>
    <row r="17" spans="1:8" ht="17.25" customHeight="1" x14ac:dyDescent="0.35">
      <c r="A17" s="167" t="s">
        <v>427</v>
      </c>
      <c r="B17" s="168">
        <f>SUM(B15:B16)</f>
        <v>10000</v>
      </c>
      <c r="C17" s="168">
        <f>SUM(C15:C16)</f>
        <v>235058.55799999999</v>
      </c>
      <c r="D17" s="168">
        <f t="shared" ref="D17:H17" si="0">SUM(D15:D16)</f>
        <v>248158.55799999999</v>
      </c>
      <c r="E17" s="168">
        <f t="shared" si="0"/>
        <v>248158.55799999999</v>
      </c>
      <c r="F17" s="168">
        <f t="shared" si="0"/>
        <v>248158.55799999999</v>
      </c>
      <c r="G17" s="168">
        <f t="shared" si="0"/>
        <v>195758.55799999999</v>
      </c>
      <c r="H17" s="168">
        <f t="shared" si="0"/>
        <v>195758.55799999999</v>
      </c>
    </row>
    <row r="19" spans="1:8" ht="15" customHeight="1" x14ac:dyDescent="0.35">
      <c r="A19" s="169" t="s">
        <v>428</v>
      </c>
      <c r="B19" s="170">
        <v>0</v>
      </c>
      <c r="C19" s="170">
        <v>0</v>
      </c>
      <c r="D19" s="170">
        <v>120</v>
      </c>
      <c r="E19" s="170">
        <v>300</v>
      </c>
      <c r="F19" s="170">
        <v>180</v>
      </c>
      <c r="G19" s="170">
        <v>190</v>
      </c>
      <c r="H19" s="170">
        <v>150</v>
      </c>
    </row>
    <row r="20" spans="1:8" ht="15" customHeight="1" x14ac:dyDescent="0.35">
      <c r="A20" s="46"/>
      <c r="B20" s="102"/>
      <c r="C20" s="102"/>
      <c r="D20" s="102"/>
      <c r="E20" s="102"/>
      <c r="F20" s="102"/>
      <c r="G20" s="102"/>
      <c r="H20" s="102"/>
    </row>
    <row r="21" spans="1:8" ht="15" customHeight="1" x14ac:dyDescent="0.35">
      <c r="A21" s="165" t="s">
        <v>429</v>
      </c>
      <c r="B21" s="166">
        <v>0</v>
      </c>
      <c r="C21" s="166">
        <v>0</v>
      </c>
      <c r="D21" s="166">
        <f>'Marges Produits'!$D$45*D19</f>
        <v>133380.084</v>
      </c>
      <c r="E21" s="166">
        <f>'Marges Produits'!$D$45*E19</f>
        <v>333450.21000000002</v>
      </c>
      <c r="F21" s="166">
        <f>'Marges Produits'!$D$45*F19</f>
        <v>200070.12600000002</v>
      </c>
      <c r="G21" s="166">
        <f>'Marges Produits'!$D$45*G19</f>
        <v>211185.133</v>
      </c>
      <c r="H21" s="166">
        <f>'Marges Produits'!$D$45*H19</f>
        <v>166725.10500000001</v>
      </c>
    </row>
    <row r="22" spans="1:8" ht="15" customHeight="1" x14ac:dyDescent="0.35">
      <c r="A22" s="165" t="s">
        <v>338</v>
      </c>
      <c r="B22" s="166">
        <v>0</v>
      </c>
      <c r="C22" s="166">
        <v>0</v>
      </c>
      <c r="D22" s="166">
        <v>55924.35</v>
      </c>
      <c r="E22" s="166">
        <v>139810.875</v>
      </c>
      <c r="F22" s="166">
        <v>83886.524999999994</v>
      </c>
      <c r="G22" s="166">
        <v>88546.887499999997</v>
      </c>
      <c r="H22" s="166">
        <v>69905.4375</v>
      </c>
    </row>
    <row r="23" spans="1:8" ht="15" customHeight="1" x14ac:dyDescent="0.35">
      <c r="A23" s="165" t="s">
        <v>430</v>
      </c>
      <c r="B23" s="166">
        <v>0</v>
      </c>
      <c r="C23" s="166">
        <v>0</v>
      </c>
      <c r="D23" s="166">
        <v>55924.35</v>
      </c>
      <c r="E23" s="166">
        <v>83886.524999999994</v>
      </c>
      <c r="F23" s="166">
        <v>-55924.35</v>
      </c>
      <c r="G23" s="166">
        <v>4660.3625000000002</v>
      </c>
      <c r="H23" s="166">
        <v>-18641.45</v>
      </c>
    </row>
    <row r="24" spans="1:8" ht="17.25" customHeight="1" x14ac:dyDescent="0.35">
      <c r="A24" s="107"/>
      <c r="B24" s="108"/>
      <c r="C24" s="108"/>
      <c r="D24" s="108"/>
      <c r="E24" s="108"/>
      <c r="F24" s="108"/>
      <c r="G24" s="108"/>
      <c r="H24" s="108"/>
    </row>
    <row r="25" spans="1:8" x14ac:dyDescent="0.35">
      <c r="A25" s="171" t="s">
        <v>431</v>
      </c>
      <c r="B25" s="172">
        <v>90000</v>
      </c>
      <c r="C25" s="172">
        <v>42938</v>
      </c>
      <c r="D25" s="172">
        <v>-123094.46584</v>
      </c>
      <c r="E25" s="172">
        <v>-4567.3146000000097</v>
      </c>
      <c r="F25" s="172">
        <v>4250.6762399999998</v>
      </c>
      <c r="G25" s="172">
        <v>6986.0374199999897</v>
      </c>
      <c r="H25" s="172">
        <v>-13376.444799999999</v>
      </c>
    </row>
    <row r="26" spans="1:8" ht="15" customHeight="1" x14ac:dyDescent="0.35">
      <c r="A26" s="173" t="s">
        <v>432</v>
      </c>
      <c r="B26" s="174">
        <v>90000</v>
      </c>
      <c r="C26" s="174">
        <v>132938</v>
      </c>
      <c r="D26" s="174">
        <v>9843.5341599999792</v>
      </c>
      <c r="E26" s="174">
        <v>5276.2195599999704</v>
      </c>
      <c r="F26" s="174">
        <v>9526.8957999999693</v>
      </c>
      <c r="G26" s="174">
        <v>16512.933219999999</v>
      </c>
      <c r="H26" s="174">
        <v>3136.4884199999501</v>
      </c>
    </row>
    <row r="27" spans="1:8" ht="15" customHeight="1" x14ac:dyDescent="0.35"/>
    <row r="28" spans="1:8" ht="15" customHeight="1" x14ac:dyDescent="0.35">
      <c r="A28" s="227" t="s">
        <v>433</v>
      </c>
      <c r="B28" s="227"/>
      <c r="C28" s="227"/>
      <c r="D28" s="227"/>
      <c r="E28" s="227"/>
      <c r="F28" s="227"/>
      <c r="G28" s="227"/>
      <c r="H28" s="227"/>
    </row>
    <row r="29" spans="1:8" ht="15" customHeight="1" x14ac:dyDescent="0.35">
      <c r="A29" s="165" t="s">
        <v>434</v>
      </c>
      <c r="B29" s="175">
        <v>10</v>
      </c>
      <c r="C29" s="175">
        <v>216</v>
      </c>
      <c r="D29" s="175">
        <v>228</v>
      </c>
      <c r="E29" s="175">
        <v>228</v>
      </c>
      <c r="F29" s="175">
        <v>228</v>
      </c>
      <c r="G29" s="175">
        <v>180</v>
      </c>
      <c r="H29" s="175">
        <v>180</v>
      </c>
    </row>
    <row r="30" spans="1:8" ht="15" customHeight="1" x14ac:dyDescent="0.35">
      <c r="A30" s="165" t="s">
        <v>435</v>
      </c>
      <c r="B30" s="176">
        <v>-10</v>
      </c>
      <c r="C30" s="176">
        <v>-216</v>
      </c>
      <c r="D30" s="176">
        <v>-108</v>
      </c>
      <c r="E30" s="176">
        <v>72</v>
      </c>
      <c r="F30" s="176">
        <v>-48</v>
      </c>
      <c r="G30" s="176">
        <v>10</v>
      </c>
      <c r="H30" s="176">
        <v>-30</v>
      </c>
    </row>
    <row r="32" spans="1:8" x14ac:dyDescent="0.35">
      <c r="A32" s="227" t="s">
        <v>436</v>
      </c>
      <c r="B32" s="227"/>
      <c r="C32" s="227"/>
    </row>
    <row r="33" spans="1:2" x14ac:dyDescent="0.35">
      <c r="A33" s="165" t="s">
        <v>437</v>
      </c>
      <c r="B33" s="177">
        <v>940</v>
      </c>
    </row>
    <row r="34" spans="1:2" x14ac:dyDescent="0.35">
      <c r="A34" s="165" t="s">
        <v>438</v>
      </c>
      <c r="B34" s="178">
        <v>156.666666666667</v>
      </c>
    </row>
    <row r="35" spans="1:2" x14ac:dyDescent="0.35">
      <c r="A35" s="165" t="s">
        <v>439</v>
      </c>
      <c r="B35" s="179">
        <v>3136.4884199999501</v>
      </c>
    </row>
    <row r="36" spans="1:2" x14ac:dyDescent="0.35">
      <c r="A36" s="165" t="s">
        <v>440</v>
      </c>
      <c r="B36" s="179">
        <v>3136.4884199999501</v>
      </c>
    </row>
    <row r="38" spans="1:2" x14ac:dyDescent="0.35">
      <c r="A38" s="180" t="s">
        <v>441</v>
      </c>
    </row>
    <row r="39" spans="1:2" x14ac:dyDescent="0.35">
      <c r="A39" s="181" t="s">
        <v>442</v>
      </c>
    </row>
    <row r="40" spans="1:2" x14ac:dyDescent="0.35">
      <c r="A40" s="181" t="s">
        <v>443</v>
      </c>
    </row>
    <row r="41" spans="1:2" x14ac:dyDescent="0.35">
      <c r="A41" s="181" t="s">
        <v>444</v>
      </c>
    </row>
    <row r="42" spans="1:2" x14ac:dyDescent="0.35">
      <c r="A42" s="181" t="s">
        <v>445</v>
      </c>
    </row>
    <row r="44" spans="1:2" x14ac:dyDescent="0.35">
      <c r="A44" s="180" t="s">
        <v>446</v>
      </c>
    </row>
    <row r="45" spans="1:2" x14ac:dyDescent="0.35">
      <c r="A45" s="181" t="s">
        <v>447</v>
      </c>
    </row>
    <row r="46" spans="1:2" x14ac:dyDescent="0.35">
      <c r="A46" s="181" t="s">
        <v>448</v>
      </c>
    </row>
    <row r="47" spans="1:2" x14ac:dyDescent="0.35">
      <c r="A47" s="181" t="s">
        <v>449</v>
      </c>
    </row>
    <row r="48" spans="1:2" x14ac:dyDescent="0.35">
      <c r="A48" s="181"/>
    </row>
    <row r="49" spans="1:1" x14ac:dyDescent="0.35">
      <c r="A49" s="181" t="s">
        <v>450</v>
      </c>
    </row>
  </sheetData>
  <mergeCells count="5">
    <mergeCell ref="A1:H1"/>
    <mergeCell ref="A4:C4"/>
    <mergeCell ref="A12:H12"/>
    <mergeCell ref="A32:C32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A69F-FABD-4715-8779-AFFBD68A97AC}">
  <dimension ref="A1:BI110"/>
  <sheetViews>
    <sheetView zoomScale="90" zoomScaleNormal="90" workbookViewId="0">
      <pane xSplit="1" topLeftCell="B1" activePane="topRight" state="frozen"/>
      <selection pane="topRight" activeCell="P72" sqref="P72"/>
    </sheetView>
  </sheetViews>
  <sheetFormatPr baseColWidth="10" defaultColWidth="8.6328125" defaultRowHeight="14.5" x14ac:dyDescent="0.35"/>
  <cols>
    <col min="1" max="1" width="42.36328125" customWidth="1"/>
    <col min="2" max="61" width="10.81640625" customWidth="1"/>
  </cols>
  <sheetData>
    <row r="1" spans="1:15" ht="17.25" customHeight="1" x14ac:dyDescent="0.35">
      <c r="A1" s="31" t="s">
        <v>36</v>
      </c>
    </row>
    <row r="2" spans="1:15" ht="15" customHeight="1" x14ac:dyDescent="0.35">
      <c r="A2" s="32" t="s">
        <v>37</v>
      </c>
    </row>
    <row r="4" spans="1:15" ht="15" customHeight="1" x14ac:dyDescent="0.35">
      <c r="A4" s="33" t="s">
        <v>38</v>
      </c>
    </row>
    <row r="5" spans="1:15" ht="15" customHeight="1" x14ac:dyDescent="0.35">
      <c r="B5" s="34" t="s">
        <v>39</v>
      </c>
      <c r="C5" s="34" t="s">
        <v>40</v>
      </c>
      <c r="D5" s="34" t="s">
        <v>41</v>
      </c>
      <c r="E5" s="34" t="s">
        <v>42</v>
      </c>
      <c r="F5" s="34" t="s">
        <v>43</v>
      </c>
      <c r="G5" s="34" t="s">
        <v>44</v>
      </c>
      <c r="H5" s="34" t="s">
        <v>45</v>
      </c>
      <c r="I5" s="34" t="s">
        <v>46</v>
      </c>
      <c r="J5" s="34" t="s">
        <v>47</v>
      </c>
      <c r="K5" s="34" t="s">
        <v>48</v>
      </c>
      <c r="L5" s="34" t="s">
        <v>49</v>
      </c>
      <c r="M5" s="34" t="s">
        <v>50</v>
      </c>
      <c r="N5" s="34" t="s">
        <v>51</v>
      </c>
      <c r="O5" s="34" t="s">
        <v>15</v>
      </c>
    </row>
    <row r="6" spans="1:15" ht="15" customHeight="1" x14ac:dyDescent="0.35">
      <c r="A6" s="35" t="s">
        <v>52</v>
      </c>
      <c r="O6" s="144"/>
    </row>
    <row r="7" spans="1:15" ht="15" customHeight="1" x14ac:dyDescent="0.35">
      <c r="A7" t="s">
        <v>6</v>
      </c>
      <c r="B7" s="36">
        <f>Dashboard!B9</f>
        <v>100000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144">
        <f t="shared" ref="O7:O27" si="0">SUM(B7:N7)</f>
        <v>100000</v>
      </c>
    </row>
    <row r="8" spans="1:15" ht="15" customHeight="1" x14ac:dyDescent="0.35">
      <c r="A8" t="s">
        <v>53</v>
      </c>
      <c r="B8" s="36">
        <v>0</v>
      </c>
      <c r="C8" s="36">
        <v>89000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144">
        <f t="shared" si="0"/>
        <v>89000</v>
      </c>
    </row>
    <row r="9" spans="1:15" ht="15" customHeight="1" x14ac:dyDescent="0.35">
      <c r="A9" t="s">
        <v>54</v>
      </c>
      <c r="B9" s="36">
        <v>0</v>
      </c>
      <c r="C9" s="36">
        <v>0</v>
      </c>
      <c r="D9" s="36">
        <v>0</v>
      </c>
      <c r="E9" s="36">
        <f>Dashboard!L9</f>
        <v>189000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144">
        <f t="shared" si="0"/>
        <v>189000</v>
      </c>
    </row>
    <row r="10" spans="1:15" ht="15" customHeight="1" x14ac:dyDescent="0.3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44"/>
    </row>
    <row r="11" spans="1:15" ht="15" customHeight="1" x14ac:dyDescent="0.3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44"/>
    </row>
    <row r="12" spans="1:15" ht="15" customHeight="1" x14ac:dyDescent="0.35">
      <c r="A12" t="s">
        <v>55</v>
      </c>
      <c r="B12" s="36">
        <v>0</v>
      </c>
      <c r="C12" s="36">
        <f>C34*'Marges Produits'!$C$45</f>
        <v>0</v>
      </c>
      <c r="D12" s="36">
        <f>D34*'Marges Produits'!$C$45</f>
        <v>0</v>
      </c>
      <c r="E12" s="36">
        <f>E34*'Marges Produits'!$C$45</f>
        <v>0</v>
      </c>
      <c r="F12" s="36">
        <f>F34*'Marges Produits'!$C$45</f>
        <v>9946.6660000000011</v>
      </c>
      <c r="G12" s="36">
        <f>G34*'Marges Produits'!$C$45</f>
        <v>12433.3325</v>
      </c>
      <c r="H12" s="36">
        <f>H34*'Marges Produits'!$C$45</f>
        <v>17406.665500000003</v>
      </c>
      <c r="I12" s="36">
        <f>I34*'Marges Produits'!$C$45</f>
        <v>22379.998500000002</v>
      </c>
      <c r="J12" s="36">
        <f>J34*'Marges Produits'!$C$45</f>
        <v>22379.998500000002</v>
      </c>
      <c r="K12" s="36">
        <f>K34*'Marges Produits'!$C$45</f>
        <v>19893.332000000002</v>
      </c>
      <c r="L12" s="36">
        <f>L34*'Marges Produits'!$C$45</f>
        <v>19893.332000000002</v>
      </c>
      <c r="M12" s="36">
        <f>M34*'Marges Produits'!$C$45</f>
        <v>9946.6660000000011</v>
      </c>
      <c r="N12" s="36">
        <f>N34*'Marges Produits'!$C$45</f>
        <v>9946.6660000000011</v>
      </c>
      <c r="O12" s="144">
        <f t="shared" si="0"/>
        <v>144226.65700000001</v>
      </c>
    </row>
    <row r="13" spans="1:15" ht="15" customHeight="1" x14ac:dyDescent="0.35">
      <c r="A13" s="30" t="s">
        <v>56</v>
      </c>
      <c r="B13" s="36">
        <f t="shared" ref="B13:N13" si="1">SUM(B7:B12)</f>
        <v>100000</v>
      </c>
      <c r="C13" s="36">
        <f t="shared" si="1"/>
        <v>89000</v>
      </c>
      <c r="D13" s="36">
        <f t="shared" si="1"/>
        <v>0</v>
      </c>
      <c r="E13" s="36">
        <f t="shared" si="1"/>
        <v>189000</v>
      </c>
      <c r="F13" s="36">
        <f t="shared" si="1"/>
        <v>9946.6660000000011</v>
      </c>
      <c r="G13" s="36">
        <f t="shared" si="1"/>
        <v>12433.3325</v>
      </c>
      <c r="H13" s="36">
        <f t="shared" si="1"/>
        <v>17406.665500000003</v>
      </c>
      <c r="I13" s="36">
        <f t="shared" si="1"/>
        <v>22379.998500000002</v>
      </c>
      <c r="J13" s="36">
        <f t="shared" si="1"/>
        <v>22379.998500000002</v>
      </c>
      <c r="K13" s="36">
        <f t="shared" si="1"/>
        <v>19893.332000000002</v>
      </c>
      <c r="L13" s="36">
        <f t="shared" si="1"/>
        <v>19893.332000000002</v>
      </c>
      <c r="M13" s="36">
        <f t="shared" si="1"/>
        <v>9946.6660000000011</v>
      </c>
      <c r="N13" s="36">
        <f t="shared" si="1"/>
        <v>9946.6660000000011</v>
      </c>
      <c r="O13" s="144">
        <f t="shared" si="0"/>
        <v>522226.65700000006</v>
      </c>
    </row>
    <row r="14" spans="1:15" x14ac:dyDescent="0.35">
      <c r="O14" s="144"/>
    </row>
    <row r="15" spans="1:15" ht="15" customHeight="1" x14ac:dyDescent="0.35">
      <c r="A15" s="35" t="s">
        <v>57</v>
      </c>
      <c r="O15" s="144"/>
    </row>
    <row r="16" spans="1:15" ht="15" customHeight="1" x14ac:dyDescent="0.35">
      <c r="A16" t="s">
        <v>58</v>
      </c>
      <c r="B16" s="36">
        <f>'Frais de lancement'!B9</f>
        <v>3803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144">
        <f t="shared" si="0"/>
        <v>3803</v>
      </c>
    </row>
    <row r="17" spans="1:15" ht="15" customHeight="1" x14ac:dyDescent="0.35">
      <c r="A17" t="s">
        <v>411</v>
      </c>
      <c r="B17" s="36">
        <v>10000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10000</v>
      </c>
      <c r="I17" s="36">
        <v>0</v>
      </c>
      <c r="J17" s="36">
        <v>0</v>
      </c>
      <c r="K17" s="36">
        <v>6000</v>
      </c>
      <c r="L17" s="36">
        <v>0</v>
      </c>
      <c r="M17" s="36">
        <v>0</v>
      </c>
      <c r="N17" s="36">
        <v>0</v>
      </c>
      <c r="O17" s="144">
        <f t="shared" si="0"/>
        <v>26000</v>
      </c>
    </row>
    <row r="18" spans="1:15" ht="15" customHeight="1" x14ac:dyDescent="0.35">
      <c r="A18" t="s">
        <v>18</v>
      </c>
      <c r="B18" s="36">
        <f>C18/2</f>
        <v>4228.166666666667</v>
      </c>
      <c r="C18" s="36">
        <f>'Charges Fixes Plume'!D13/12</f>
        <v>8456.3333333333339</v>
      </c>
      <c r="D18" s="36">
        <v>8316</v>
      </c>
      <c r="E18" s="36">
        <v>8316</v>
      </c>
      <c r="F18" s="36">
        <v>8316</v>
      </c>
      <c r="G18" s="36">
        <v>8316</v>
      </c>
      <c r="H18" s="36">
        <v>8316</v>
      </c>
      <c r="I18" s="36">
        <v>8316</v>
      </c>
      <c r="J18" s="36">
        <v>8316</v>
      </c>
      <c r="K18" s="36">
        <v>8316</v>
      </c>
      <c r="L18" s="36">
        <v>8316</v>
      </c>
      <c r="M18" s="36">
        <v>8316</v>
      </c>
      <c r="N18" s="36">
        <v>8316</v>
      </c>
      <c r="O18" s="144">
        <f t="shared" si="0"/>
        <v>104160.5</v>
      </c>
    </row>
    <row r="19" spans="1:15" ht="15" customHeight="1" x14ac:dyDescent="0.35">
      <c r="A19" t="s">
        <v>59</v>
      </c>
      <c r="B19" s="36">
        <f>C19/2</f>
        <v>1671.4166666666667</v>
      </c>
      <c r="C19" s="36">
        <f>'Charges Fixes Plume'!C28/12</f>
        <v>3342.8333333333335</v>
      </c>
      <c r="D19" s="36">
        <v>3018</v>
      </c>
      <c r="E19" s="36">
        <v>3018</v>
      </c>
      <c r="F19" s="36">
        <v>3018</v>
      </c>
      <c r="G19" s="36">
        <v>3018</v>
      </c>
      <c r="H19" s="36">
        <v>3018</v>
      </c>
      <c r="I19" s="36">
        <v>3018</v>
      </c>
      <c r="J19" s="36">
        <v>3018</v>
      </c>
      <c r="K19" s="36">
        <v>3018</v>
      </c>
      <c r="L19" s="36">
        <v>3018</v>
      </c>
      <c r="M19" s="36">
        <v>3018</v>
      </c>
      <c r="N19" s="36">
        <v>3018</v>
      </c>
      <c r="O19" s="144">
        <f>SUM(B19:N19)</f>
        <v>38212.25</v>
      </c>
    </row>
    <row r="21" spans="1:15" ht="15" customHeight="1" x14ac:dyDescent="0.35">
      <c r="A21" t="s">
        <v>60</v>
      </c>
      <c r="B21" s="36">
        <v>0</v>
      </c>
      <c r="C21" s="36">
        <v>0</v>
      </c>
      <c r="D21" s="36">
        <v>0</v>
      </c>
      <c r="E21" s="36">
        <f>'Charges Fixes Plume'!C35*4</f>
        <v>4473.9479999999994</v>
      </c>
      <c r="F21" s="36">
        <f>'Charges Fixes Plume'!C35*4</f>
        <v>4473.9479999999994</v>
      </c>
      <c r="G21" s="36">
        <v>0</v>
      </c>
      <c r="H21" s="36">
        <v>0</v>
      </c>
      <c r="I21" s="36">
        <v>0</v>
      </c>
      <c r="J21" s="36">
        <f>4*'Charges Fixes Plume'!$C$35</f>
        <v>4473.9479999999994</v>
      </c>
      <c r="K21" s="36">
        <v>0</v>
      </c>
      <c r="L21" s="36">
        <v>0</v>
      </c>
      <c r="M21" s="36">
        <v>0</v>
      </c>
      <c r="N21" s="36">
        <v>0</v>
      </c>
      <c r="O21" s="144">
        <f t="shared" si="0"/>
        <v>13421.843999999997</v>
      </c>
    </row>
    <row r="22" spans="1:15" ht="15" customHeight="1" x14ac:dyDescent="0.35">
      <c r="A22" t="s">
        <v>61</v>
      </c>
      <c r="B22" s="36">
        <v>0</v>
      </c>
      <c r="C22" s="36">
        <v>0</v>
      </c>
      <c r="D22" s="36">
        <v>0</v>
      </c>
      <c r="E22" s="36">
        <f>'Charges Fixes Plume'!C36</f>
        <v>5570</v>
      </c>
      <c r="F22" s="36">
        <f>'Charges Fixes Plume'!C36</f>
        <v>5570</v>
      </c>
      <c r="G22" s="36">
        <v>0</v>
      </c>
      <c r="H22" s="36">
        <v>0</v>
      </c>
      <c r="I22" s="36">
        <v>0</v>
      </c>
      <c r="J22" s="36">
        <v>1000</v>
      </c>
      <c r="K22" s="36">
        <v>0</v>
      </c>
      <c r="L22" s="36">
        <v>0</v>
      </c>
      <c r="M22" s="36">
        <v>0</v>
      </c>
      <c r="N22" s="36">
        <v>0</v>
      </c>
      <c r="O22" s="144">
        <f t="shared" si="0"/>
        <v>12140</v>
      </c>
    </row>
    <row r="23" spans="1:15" ht="15" customHeight="1" x14ac:dyDescent="0.35">
      <c r="A23" t="s">
        <v>62</v>
      </c>
      <c r="B23" s="36">
        <v>0</v>
      </c>
      <c r="C23" s="36">
        <f>C33*'Marges Produits'!$E$45</f>
        <v>0</v>
      </c>
      <c r="D23" s="36">
        <f>D33*'Marges Produits'!$E$45</f>
        <v>0</v>
      </c>
      <c r="E23" s="36">
        <f>E33*'Marges Produits'!$E$45</f>
        <v>7456.58</v>
      </c>
      <c r="F23" s="36">
        <f>F33*'Marges Produits'!$E$45</f>
        <v>14913.16</v>
      </c>
      <c r="G23" s="36">
        <f>G33*'Marges Produits'!$E$45</f>
        <v>14913.16</v>
      </c>
      <c r="H23" s="36">
        <f>H33*'Marges Produits'!$E$45</f>
        <v>6524.5074999999997</v>
      </c>
      <c r="I23" s="36">
        <f>I33*'Marges Produits'!$E$45</f>
        <v>8388.6525000000001</v>
      </c>
      <c r="J23" s="36">
        <f>J33*'Marges Produits'!$E$45</f>
        <v>7456.58</v>
      </c>
      <c r="K23" s="36">
        <f>K33*'Marges Produits'!$E$45</f>
        <v>7456.58</v>
      </c>
      <c r="L23" s="36">
        <f>L33*'Marges Produits'!$E$45</f>
        <v>7456.58</v>
      </c>
      <c r="M23" s="36">
        <f>M33*'Marges Produits'!$E$45</f>
        <v>3728.29</v>
      </c>
      <c r="N23" s="36">
        <f>N33*'Marges Produits'!$E$45</f>
        <v>3728.29</v>
      </c>
      <c r="O23" s="144">
        <f t="shared" si="0"/>
        <v>82022.37999999999</v>
      </c>
    </row>
    <row r="24" spans="1:15" ht="15" customHeight="1" x14ac:dyDescent="0.35">
      <c r="A24" t="s">
        <v>63</v>
      </c>
      <c r="B24" s="36">
        <v>0</v>
      </c>
      <c r="C24" s="36">
        <v>0</v>
      </c>
      <c r="D24" s="36">
        <v>0</v>
      </c>
      <c r="E24" s="36">
        <v>0</v>
      </c>
      <c r="F24" s="36">
        <f>'Emprunt Bancaire'!$B$27</f>
        <v>4367</v>
      </c>
      <c r="G24" s="36">
        <f>'Emprunt Bancaire'!$B$27</f>
        <v>4367</v>
      </c>
      <c r="H24" s="36">
        <f>'Emprunt Bancaire'!$B$27</f>
        <v>4367</v>
      </c>
      <c r="I24" s="36">
        <f>'Emprunt Bancaire'!$B$27</f>
        <v>4367</v>
      </c>
      <c r="J24" s="36">
        <f>'Emprunt Bancaire'!$B$27</f>
        <v>4367</v>
      </c>
      <c r="K24" s="36">
        <f>'Emprunt Bancaire'!$B$27</f>
        <v>4367</v>
      </c>
      <c r="L24" s="36">
        <f>'Emprunt Bancaire'!$B$27</f>
        <v>4367</v>
      </c>
      <c r="M24" s="36">
        <f>'Emprunt Bancaire'!$B$27</f>
        <v>4367</v>
      </c>
      <c r="N24" s="36">
        <f>'Emprunt Bancaire'!$B$27</f>
        <v>4367</v>
      </c>
      <c r="O24" s="144">
        <f t="shared" si="0"/>
        <v>39303</v>
      </c>
    </row>
    <row r="25" spans="1:15" ht="15" customHeight="1" x14ac:dyDescent="0.35">
      <c r="A25" t="s">
        <v>64</v>
      </c>
      <c r="B25" s="36">
        <f>B12*0.008</f>
        <v>0</v>
      </c>
      <c r="C25" s="36">
        <f t="shared" ref="C25:N25" si="2">C12*0.008</f>
        <v>0</v>
      </c>
      <c r="D25" s="36">
        <f t="shared" si="2"/>
        <v>0</v>
      </c>
      <c r="E25" s="36">
        <f t="shared" si="2"/>
        <v>0</v>
      </c>
      <c r="F25" s="36">
        <f t="shared" si="2"/>
        <v>79.573328000000004</v>
      </c>
      <c r="G25" s="36">
        <f t="shared" si="2"/>
        <v>99.466660000000005</v>
      </c>
      <c r="H25" s="36">
        <f t="shared" si="2"/>
        <v>139.25332400000002</v>
      </c>
      <c r="I25" s="36">
        <f t="shared" si="2"/>
        <v>179.03998800000002</v>
      </c>
      <c r="J25" s="36">
        <f t="shared" si="2"/>
        <v>179.03998800000002</v>
      </c>
      <c r="K25" s="36">
        <f t="shared" si="2"/>
        <v>159.14665600000001</v>
      </c>
      <c r="L25" s="36">
        <f t="shared" si="2"/>
        <v>159.14665600000001</v>
      </c>
      <c r="M25" s="36">
        <f t="shared" si="2"/>
        <v>79.573328000000004</v>
      </c>
      <c r="N25" s="36">
        <f t="shared" si="2"/>
        <v>79.573328000000004</v>
      </c>
      <c r="O25" s="144">
        <f t="shared" si="0"/>
        <v>1153.8132559999999</v>
      </c>
    </row>
    <row r="26" spans="1:15" x14ac:dyDescent="0.35">
      <c r="A26" t="s">
        <v>415</v>
      </c>
      <c r="B26" s="143" cm="1">
        <f t="array" ref="B26">SUM(B16:B25*0.15)</f>
        <v>2955.3874999999998</v>
      </c>
      <c r="C26" s="143" cm="1">
        <f t="array" ref="C26">SUM(C16:C25*0.15)</f>
        <v>1769.875</v>
      </c>
      <c r="D26" s="143" cm="1">
        <f t="array" ref="D26">SUM(D16:D25*0.15)</f>
        <v>1700.1</v>
      </c>
      <c r="E26" s="143" cm="1">
        <f t="array" ref="E26">SUM(E16:E25*0.15)</f>
        <v>4325.1791999999996</v>
      </c>
      <c r="F26" s="143" cm="1">
        <f t="array" ref="F26">SUM(F16:F25*0.15)</f>
        <v>6110.6521991999998</v>
      </c>
      <c r="G26" s="143" cm="1">
        <f t="array" ref="G26">SUM(G16:G25*0.15)</f>
        <v>4607.0439989999995</v>
      </c>
      <c r="H26" s="143" cm="1">
        <f t="array" ref="H26">SUM(H16:H25*0.15)</f>
        <v>4854.7141235999998</v>
      </c>
      <c r="I26" s="143" cm="1">
        <f t="array" ref="I26">SUM(I16:I25*0.15)</f>
        <v>3640.3038732</v>
      </c>
      <c r="J26" s="143" cm="1">
        <f t="array" ref="J26">SUM(J16:J25*0.15)</f>
        <v>4321.5851981999995</v>
      </c>
      <c r="K26" s="143" cm="1">
        <f t="array" ref="K26">SUM(K16:K25*0.15)</f>
        <v>4397.5089983999997</v>
      </c>
      <c r="L26" s="143" cm="1">
        <f t="array" ref="L26">SUM(L16:L25*0.15)</f>
        <v>3497.5089983999997</v>
      </c>
      <c r="M26" s="143" cm="1">
        <f t="array" ref="M26">SUM(M16:M25*0.15)</f>
        <v>2926.3294992000001</v>
      </c>
      <c r="N26" s="143" cm="1">
        <f t="array" ref="N26">SUM(N16:N25*0.15)</f>
        <v>2926.3294992000001</v>
      </c>
      <c r="O26" s="148">
        <f t="shared" si="0"/>
        <v>48032.5180884</v>
      </c>
    </row>
    <row r="27" spans="1:15" ht="15" customHeight="1" x14ac:dyDescent="0.35">
      <c r="A27" s="30" t="s">
        <v>65</v>
      </c>
      <c r="B27" s="36">
        <f>SUM(B16:B26)</f>
        <v>22657.970833333336</v>
      </c>
      <c r="C27" s="36">
        <f t="shared" ref="C27:N27" si="3">SUM(C16:C26)</f>
        <v>13569.041666666668</v>
      </c>
      <c r="D27" s="36">
        <f t="shared" si="3"/>
        <v>13034.1</v>
      </c>
      <c r="E27" s="36">
        <f t="shared" si="3"/>
        <v>33159.707199999997</v>
      </c>
      <c r="F27" s="36">
        <f t="shared" si="3"/>
        <v>46848.333527199997</v>
      </c>
      <c r="G27" s="36">
        <f t="shared" si="3"/>
        <v>35320.670658999996</v>
      </c>
      <c r="H27" s="36">
        <f t="shared" si="3"/>
        <v>37219.4749476</v>
      </c>
      <c r="I27" s="36">
        <f t="shared" si="3"/>
        <v>27908.996361199999</v>
      </c>
      <c r="J27" s="36">
        <f t="shared" si="3"/>
        <v>33132.153186199997</v>
      </c>
      <c r="K27" s="36">
        <f t="shared" si="3"/>
        <v>33714.235654399999</v>
      </c>
      <c r="L27" s="36">
        <f t="shared" si="3"/>
        <v>26814.235654400003</v>
      </c>
      <c r="M27" s="36">
        <f t="shared" si="3"/>
        <v>22435.1928272</v>
      </c>
      <c r="N27" s="36">
        <f t="shared" si="3"/>
        <v>22435.1928272</v>
      </c>
      <c r="O27" s="144">
        <f t="shared" si="0"/>
        <v>368249.3053444</v>
      </c>
    </row>
    <row r="28" spans="1:15" x14ac:dyDescent="0.35">
      <c r="O28" s="144"/>
    </row>
    <row r="29" spans="1:15" ht="15" customHeight="1" x14ac:dyDescent="0.35">
      <c r="A29" s="30" t="s">
        <v>66</v>
      </c>
      <c r="B29" s="141">
        <f t="shared" ref="B29:N29" si="4">B13-B27</f>
        <v>77342.02916666666</v>
      </c>
      <c r="C29" s="141">
        <f t="shared" si="4"/>
        <v>75430.958333333328</v>
      </c>
      <c r="D29" s="141">
        <f t="shared" si="4"/>
        <v>-13034.1</v>
      </c>
      <c r="E29" s="141">
        <f t="shared" si="4"/>
        <v>155840.2928</v>
      </c>
      <c r="F29" s="141">
        <f t="shared" si="4"/>
        <v>-36901.667527199999</v>
      </c>
      <c r="G29" s="141">
        <f t="shared" si="4"/>
        <v>-22887.338158999995</v>
      </c>
      <c r="H29" s="141">
        <f t="shared" si="4"/>
        <v>-19812.809447599997</v>
      </c>
      <c r="I29" s="141">
        <f t="shared" si="4"/>
        <v>-5528.9978611999977</v>
      </c>
      <c r="J29" s="141">
        <f t="shared" si="4"/>
        <v>-10752.154686199996</v>
      </c>
      <c r="K29" s="141">
        <f t="shared" si="4"/>
        <v>-13820.903654399997</v>
      </c>
      <c r="L29" s="141">
        <f t="shared" si="4"/>
        <v>-6920.903654400001</v>
      </c>
      <c r="M29" s="141">
        <f t="shared" si="4"/>
        <v>-12488.526827199999</v>
      </c>
      <c r="N29" s="141">
        <f t="shared" si="4"/>
        <v>-12488.526827199999</v>
      </c>
      <c r="O29" s="144"/>
    </row>
    <row r="30" spans="1:15" ht="15" customHeight="1" x14ac:dyDescent="0.35">
      <c r="A30" s="37" t="s">
        <v>67</v>
      </c>
      <c r="B30" s="38">
        <f>B29</f>
        <v>77342.02916666666</v>
      </c>
      <c r="C30" s="38">
        <f t="shared" ref="C30:N30" si="5">B30+C29</f>
        <v>152772.98749999999</v>
      </c>
      <c r="D30" s="38">
        <f t="shared" si="5"/>
        <v>139738.88749999998</v>
      </c>
      <c r="E30" s="38">
        <f t="shared" si="5"/>
        <v>295579.18030000001</v>
      </c>
      <c r="F30" s="38">
        <f t="shared" si="5"/>
        <v>258677.51277279999</v>
      </c>
      <c r="G30" s="38">
        <f t="shared" si="5"/>
        <v>235790.17461379999</v>
      </c>
      <c r="H30" s="38">
        <f t="shared" si="5"/>
        <v>215977.36516619998</v>
      </c>
      <c r="I30" s="38">
        <f t="shared" si="5"/>
        <v>210448.36730499996</v>
      </c>
      <c r="J30" s="38">
        <f t="shared" si="5"/>
        <v>199696.21261879997</v>
      </c>
      <c r="K30" s="38">
        <f t="shared" si="5"/>
        <v>185875.30896439997</v>
      </c>
      <c r="L30" s="38">
        <f t="shared" si="5"/>
        <v>178954.40530999997</v>
      </c>
      <c r="M30" s="38">
        <f t="shared" si="5"/>
        <v>166465.87848279998</v>
      </c>
      <c r="N30" s="38">
        <f t="shared" si="5"/>
        <v>153977.35165559998</v>
      </c>
      <c r="O30" s="144"/>
    </row>
    <row r="31" spans="1:15" x14ac:dyDescent="0.35">
      <c r="O31" s="144"/>
    </row>
    <row r="32" spans="1:15" ht="15" customHeight="1" x14ac:dyDescent="0.35">
      <c r="A32" s="39" t="s">
        <v>68</v>
      </c>
      <c r="O32" s="144"/>
    </row>
    <row r="33" spans="1:61" ht="15" customHeight="1" x14ac:dyDescent="0.35">
      <c r="A33" t="s">
        <v>69</v>
      </c>
      <c r="B33">
        <v>0</v>
      </c>
      <c r="C33">
        <v>0</v>
      </c>
      <c r="D33">
        <v>0</v>
      </c>
      <c r="E33">
        <v>8</v>
      </c>
      <c r="F33">
        <v>16</v>
      </c>
      <c r="G33">
        <v>16</v>
      </c>
      <c r="H33">
        <v>7</v>
      </c>
      <c r="I33">
        <v>9</v>
      </c>
      <c r="J33">
        <v>8</v>
      </c>
      <c r="K33">
        <v>8</v>
      </c>
      <c r="L33">
        <v>8</v>
      </c>
      <c r="M33">
        <v>4</v>
      </c>
      <c r="N33">
        <v>4</v>
      </c>
      <c r="O33" s="144">
        <f>SUM(B33:N33)</f>
        <v>88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</row>
    <row r="34" spans="1:61" ht="15" customHeight="1" x14ac:dyDescent="0.35">
      <c r="A34" t="s">
        <v>70</v>
      </c>
      <c r="B34">
        <v>0</v>
      </c>
      <c r="C34">
        <v>0</v>
      </c>
      <c r="D34">
        <v>0</v>
      </c>
      <c r="E34">
        <v>0</v>
      </c>
      <c r="F34">
        <v>4</v>
      </c>
      <c r="G34">
        <v>5</v>
      </c>
      <c r="H34">
        <v>7</v>
      </c>
      <c r="I34">
        <v>9</v>
      </c>
      <c r="J34">
        <v>9</v>
      </c>
      <c r="K34">
        <v>8</v>
      </c>
      <c r="L34">
        <v>8</v>
      </c>
      <c r="M34">
        <v>4</v>
      </c>
      <c r="N34">
        <v>4</v>
      </c>
      <c r="O34" s="144">
        <f t="shared" ref="O34" si="6">SUM(B34:N34)</f>
        <v>58</v>
      </c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</row>
    <row r="35" spans="1:61" ht="15" customHeight="1" x14ac:dyDescent="0.35">
      <c r="A35" t="s">
        <v>71</v>
      </c>
      <c r="B35">
        <v>0</v>
      </c>
      <c r="C35">
        <f t="shared" ref="C35:D35" si="7">(C33+B35)-C34</f>
        <v>0</v>
      </c>
      <c r="D35">
        <f t="shared" si="7"/>
        <v>0</v>
      </c>
      <c r="E35">
        <f>(E33+D35)-E34</f>
        <v>8</v>
      </c>
      <c r="F35">
        <f t="shared" ref="F35:N35" si="8">(F33+E35)-F34</f>
        <v>20</v>
      </c>
      <c r="G35">
        <f t="shared" si="8"/>
        <v>31</v>
      </c>
      <c r="H35">
        <f t="shared" si="8"/>
        <v>31</v>
      </c>
      <c r="I35">
        <f t="shared" si="8"/>
        <v>31</v>
      </c>
      <c r="J35">
        <f t="shared" si="8"/>
        <v>30</v>
      </c>
      <c r="K35">
        <f t="shared" si="8"/>
        <v>30</v>
      </c>
      <c r="L35">
        <f t="shared" si="8"/>
        <v>30</v>
      </c>
      <c r="M35">
        <f t="shared" si="8"/>
        <v>30</v>
      </c>
      <c r="N35">
        <f t="shared" si="8"/>
        <v>30</v>
      </c>
      <c r="O35" s="144"/>
    </row>
    <row r="38" spans="1:61" ht="15" customHeight="1" x14ac:dyDescent="0.35">
      <c r="A38" s="33" t="s">
        <v>72</v>
      </c>
      <c r="B38" s="210" t="s">
        <v>72</v>
      </c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2"/>
      <c r="N38" s="210" t="s">
        <v>417</v>
      </c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2"/>
      <c r="Z38" s="210" t="s">
        <v>418</v>
      </c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2"/>
      <c r="AL38" s="210" t="s">
        <v>419</v>
      </c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2"/>
      <c r="AX38" s="210" t="s">
        <v>420</v>
      </c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2"/>
    </row>
    <row r="39" spans="1:61" ht="15" customHeight="1" x14ac:dyDescent="0.35">
      <c r="B39" s="151" t="s">
        <v>40</v>
      </c>
      <c r="C39" s="34" t="s">
        <v>41</v>
      </c>
      <c r="D39" s="34" t="s">
        <v>42</v>
      </c>
      <c r="E39" s="34" t="s">
        <v>43</v>
      </c>
      <c r="F39" s="34" t="s">
        <v>44</v>
      </c>
      <c r="G39" s="34" t="s">
        <v>45</v>
      </c>
      <c r="H39" s="34" t="s">
        <v>46</v>
      </c>
      <c r="I39" s="34" t="s">
        <v>47</v>
      </c>
      <c r="J39" s="34" t="s">
        <v>48</v>
      </c>
      <c r="K39" s="34" t="s">
        <v>49</v>
      </c>
      <c r="L39" s="34" t="s">
        <v>50</v>
      </c>
      <c r="M39" s="152" t="s">
        <v>51</v>
      </c>
      <c r="N39" s="151" t="s">
        <v>40</v>
      </c>
      <c r="O39" s="34" t="s">
        <v>41</v>
      </c>
      <c r="P39" s="34" t="s">
        <v>42</v>
      </c>
      <c r="Q39" s="34" t="s">
        <v>43</v>
      </c>
      <c r="R39" s="34" t="s">
        <v>44</v>
      </c>
      <c r="S39" s="34" t="s">
        <v>45</v>
      </c>
      <c r="T39" s="34" t="s">
        <v>46</v>
      </c>
      <c r="U39" s="34" t="s">
        <v>47</v>
      </c>
      <c r="V39" s="34" t="s">
        <v>48</v>
      </c>
      <c r="W39" s="34" t="s">
        <v>49</v>
      </c>
      <c r="X39" s="34" t="s">
        <v>50</v>
      </c>
      <c r="Y39" s="152" t="s">
        <v>51</v>
      </c>
      <c r="Z39" s="151" t="s">
        <v>40</v>
      </c>
      <c r="AA39" s="34" t="s">
        <v>41</v>
      </c>
      <c r="AB39" s="34" t="s">
        <v>42</v>
      </c>
      <c r="AC39" s="34" t="s">
        <v>43</v>
      </c>
      <c r="AD39" s="34" t="s">
        <v>44</v>
      </c>
      <c r="AE39" s="34" t="s">
        <v>45</v>
      </c>
      <c r="AF39" s="34" t="s">
        <v>46</v>
      </c>
      <c r="AG39" s="34" t="s">
        <v>47</v>
      </c>
      <c r="AH39" s="34" t="s">
        <v>48</v>
      </c>
      <c r="AI39" s="34" t="s">
        <v>49</v>
      </c>
      <c r="AJ39" s="34" t="s">
        <v>50</v>
      </c>
      <c r="AK39" s="152" t="s">
        <v>51</v>
      </c>
      <c r="AL39" s="151" t="s">
        <v>40</v>
      </c>
      <c r="AM39" s="34" t="s">
        <v>41</v>
      </c>
      <c r="AN39" s="34" t="s">
        <v>42</v>
      </c>
      <c r="AO39" s="34" t="s">
        <v>43</v>
      </c>
      <c r="AP39" s="34" t="s">
        <v>44</v>
      </c>
      <c r="AQ39" s="34" t="s">
        <v>45</v>
      </c>
      <c r="AR39" s="34" t="s">
        <v>46</v>
      </c>
      <c r="AS39" s="34" t="s">
        <v>47</v>
      </c>
      <c r="AT39" s="34" t="s">
        <v>48</v>
      </c>
      <c r="AU39" s="34" t="s">
        <v>49</v>
      </c>
      <c r="AV39" s="34" t="s">
        <v>50</v>
      </c>
      <c r="AW39" s="152" t="s">
        <v>51</v>
      </c>
      <c r="AX39" s="151" t="s">
        <v>40</v>
      </c>
      <c r="AY39" s="34" t="s">
        <v>41</v>
      </c>
      <c r="AZ39" s="34" t="s">
        <v>42</v>
      </c>
      <c r="BA39" s="34" t="s">
        <v>43</v>
      </c>
      <c r="BB39" s="34" t="s">
        <v>44</v>
      </c>
      <c r="BC39" s="34" t="s">
        <v>45</v>
      </c>
      <c r="BD39" s="34" t="s">
        <v>46</v>
      </c>
      <c r="BE39" s="34" t="s">
        <v>47</v>
      </c>
      <c r="BF39" s="34" t="s">
        <v>48</v>
      </c>
      <c r="BG39" s="34" t="s">
        <v>49</v>
      </c>
      <c r="BH39" s="34" t="s">
        <v>50</v>
      </c>
      <c r="BI39" s="152" t="s">
        <v>51</v>
      </c>
    </row>
    <row r="40" spans="1:61" ht="15" customHeight="1" x14ac:dyDescent="0.35">
      <c r="A40" s="35" t="s">
        <v>52</v>
      </c>
      <c r="B40" s="153"/>
      <c r="M40" s="154"/>
      <c r="N40" s="153"/>
      <c r="Y40" s="154"/>
      <c r="Z40" s="153"/>
      <c r="AK40" s="154"/>
      <c r="AL40" s="153"/>
      <c r="AW40" s="154"/>
      <c r="AX40" s="153"/>
      <c r="BI40" s="154"/>
    </row>
    <row r="41" spans="1:61" ht="15" customHeight="1" x14ac:dyDescent="0.35">
      <c r="A41" t="s">
        <v>73</v>
      </c>
      <c r="B41" s="153">
        <v>0</v>
      </c>
      <c r="C41" s="36">
        <v>0</v>
      </c>
      <c r="D41" s="36">
        <v>50000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155">
        <v>0</v>
      </c>
      <c r="N41" s="153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155"/>
      <c r="Z41" s="153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155"/>
      <c r="AL41" s="153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155"/>
      <c r="AX41" s="153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155"/>
    </row>
    <row r="42" spans="1:61" ht="15" customHeight="1" x14ac:dyDescent="0.35">
      <c r="A42" t="s">
        <v>55</v>
      </c>
      <c r="B42" s="156">
        <f>B63*'Marges Produits'!$C$45</f>
        <v>9946.6660000000011</v>
      </c>
      <c r="C42" s="36">
        <f>C63*'Marges Produits'!$C$45</f>
        <v>19893.332000000002</v>
      </c>
      <c r="D42" s="36">
        <f>D63*'Marges Produits'!$C$45</f>
        <v>29839.998000000003</v>
      </c>
      <c r="E42" s="36">
        <f>E63*'Marges Produits'!$C$45</f>
        <v>49733.33</v>
      </c>
      <c r="F42" s="36">
        <f>F63*'Marges Produits'!$C$45</f>
        <v>69626.662000000011</v>
      </c>
      <c r="G42" s="36">
        <f>G63*'Marges Produits'!$C$45</f>
        <v>69626.662000000011</v>
      </c>
      <c r="H42" s="36">
        <f>H63*'Marges Produits'!$C$45</f>
        <v>69626.662000000011</v>
      </c>
      <c r="I42" s="36">
        <f>I63*'Marges Produits'!$C$45</f>
        <v>59679.996000000006</v>
      </c>
      <c r="J42" s="36">
        <f>J63*'Marges Produits'!$C$45</f>
        <v>49733.33</v>
      </c>
      <c r="K42" s="36">
        <f>K63*'Marges Produits'!$C$45</f>
        <v>29839.998000000003</v>
      </c>
      <c r="L42" s="36">
        <f>L63*'Marges Produits'!$C$45</f>
        <v>19893.332000000002</v>
      </c>
      <c r="M42" s="155">
        <f>M63*'Marges Produits'!$C$45</f>
        <v>19893.332000000002</v>
      </c>
      <c r="N42" s="156">
        <f>N63*'Marges Produits'!$C$45</f>
        <v>29839.998000000003</v>
      </c>
      <c r="O42" s="36">
        <f>O63*'Marges Produits'!$C$45</f>
        <v>59679.996000000006</v>
      </c>
      <c r="P42" s="36">
        <f>P63*'Marges Produits'!$C$45</f>
        <v>99466.66</v>
      </c>
      <c r="Q42" s="36">
        <f>Q63*'Marges Produits'!$C$45</f>
        <v>119359.99200000001</v>
      </c>
      <c r="R42" s="36">
        <f>R63*'Marges Produits'!$C$45</f>
        <v>139253.32400000002</v>
      </c>
      <c r="S42" s="36">
        <f>S63*'Marges Produits'!$C$45</f>
        <v>139253.32400000002</v>
      </c>
      <c r="T42" s="36">
        <f>T63*'Marges Produits'!$C$45</f>
        <v>139253.32400000002</v>
      </c>
      <c r="U42" s="36">
        <f>U63*'Marges Produits'!$C$45</f>
        <v>129306.65800000001</v>
      </c>
      <c r="V42" s="36">
        <f>V63*'Marges Produits'!$C$45</f>
        <v>99466.66</v>
      </c>
      <c r="W42" s="36">
        <f>W63*'Marges Produits'!$C$45</f>
        <v>59679.996000000006</v>
      </c>
      <c r="X42" s="36">
        <f>X63*'Marges Produits'!$C$45</f>
        <v>39786.664000000004</v>
      </c>
      <c r="Y42" s="155">
        <f>Y63*'Marges Produits'!$C$45</f>
        <v>39786.664000000004</v>
      </c>
      <c r="Z42" s="156">
        <f>Z63*'Marges Produits'!$C$45</f>
        <v>79573.328000000009</v>
      </c>
      <c r="AA42" s="36">
        <f>AA63*'Marges Produits'!$C$45</f>
        <v>89519.994000000006</v>
      </c>
      <c r="AB42" s="36">
        <f>AB63*'Marges Produits'!$C$45</f>
        <v>129306.65800000001</v>
      </c>
      <c r="AC42" s="36">
        <f>AC63*'Marges Produits'!$C$45</f>
        <v>169093.32200000001</v>
      </c>
      <c r="AD42" s="36">
        <f>AD63*'Marges Produits'!$C$45</f>
        <v>198933.32</v>
      </c>
      <c r="AE42" s="36">
        <f>AE63*'Marges Produits'!$C$45</f>
        <v>198933.32</v>
      </c>
      <c r="AF42" s="36">
        <f>AF63*'Marges Produits'!$C$45</f>
        <v>198933.32</v>
      </c>
      <c r="AG42" s="36">
        <f>AG63*'Marges Produits'!$C$45</f>
        <v>169093.32200000001</v>
      </c>
      <c r="AH42" s="36">
        <f>AH63*'Marges Produits'!$C$45</f>
        <v>149199.99000000002</v>
      </c>
      <c r="AI42" s="36">
        <f>AI63*'Marges Produits'!$C$45</f>
        <v>89519.994000000006</v>
      </c>
      <c r="AJ42" s="36">
        <f>AJ63*'Marges Produits'!$C$45</f>
        <v>59679.996000000006</v>
      </c>
      <c r="AK42" s="155">
        <f>AK63*'Marges Produits'!$C$45</f>
        <v>59679.996000000006</v>
      </c>
      <c r="AL42" s="156">
        <f>AL63*'Marges Produits'!$C$45</f>
        <v>99466.66</v>
      </c>
      <c r="AM42" s="36">
        <f>AM63*'Marges Produits'!$C$45</f>
        <v>109413.32600000002</v>
      </c>
      <c r="AN42" s="36">
        <f>AN63*'Marges Produits'!$C$45</f>
        <v>159146.65600000002</v>
      </c>
      <c r="AO42" s="36">
        <f>AO63*'Marges Produits'!$C$45</f>
        <v>208879.98600000003</v>
      </c>
      <c r="AP42" s="36">
        <f>AP63*'Marges Produits'!$C$45</f>
        <v>248666.65000000002</v>
      </c>
      <c r="AQ42" s="36">
        <f>AQ63*'Marges Produits'!$C$45</f>
        <v>248666.65000000002</v>
      </c>
      <c r="AR42" s="36">
        <f>AR63*'Marges Produits'!$C$45</f>
        <v>248666.65000000002</v>
      </c>
      <c r="AS42" s="36">
        <f>AS63*'Marges Produits'!$C$45</f>
        <v>208879.98600000003</v>
      </c>
      <c r="AT42" s="36">
        <f>AT63*'Marges Produits'!$C$45</f>
        <v>186499.98750000002</v>
      </c>
      <c r="AU42" s="36">
        <f>AU63*'Marges Produits'!$C$45</f>
        <v>109413.32600000002</v>
      </c>
      <c r="AV42" s="36">
        <f>AV63*'Marges Produits'!$C$45</f>
        <v>74599.99500000001</v>
      </c>
      <c r="AW42" s="155">
        <f>AW63*'Marges Produits'!$C$45</f>
        <v>74599.99500000001</v>
      </c>
      <c r="AX42" s="156">
        <f>AX63*(('Marges Produits'!$C$45)*1.05)</f>
        <v>104439.99300000002</v>
      </c>
      <c r="AY42" s="156">
        <f>AY63*(('Marges Produits'!$C$45)*1.05)</f>
        <v>114883.99230000001</v>
      </c>
      <c r="AZ42" s="156">
        <f>AZ63*(('Marges Produits'!$C$45)*1.05)</f>
        <v>167103.98880000002</v>
      </c>
      <c r="BA42" s="156">
        <f>BA63*(('Marges Produits'!$C$45)*1.05)</f>
        <v>219323.98530000003</v>
      </c>
      <c r="BB42" s="156">
        <f>BB63*(('Marges Produits'!$C$45)*1.05)</f>
        <v>261099.98250000004</v>
      </c>
      <c r="BC42" s="156">
        <f>BC63*(('Marges Produits'!$C$45)*1.05)</f>
        <v>261099.98250000004</v>
      </c>
      <c r="BD42" s="156">
        <f>BD63*(('Marges Produits'!$C$45)*1.05)</f>
        <v>261099.98250000004</v>
      </c>
      <c r="BE42" s="156">
        <f>BE63*(('Marges Produits'!$C$45)*1.05)</f>
        <v>219323.98530000003</v>
      </c>
      <c r="BF42" s="156">
        <f>BF63*(('Marges Produits'!$C$45)*1.05)</f>
        <v>195824.98687500003</v>
      </c>
      <c r="BG42" s="156">
        <f>BG63*(('Marges Produits'!$C$45)*1.05)</f>
        <v>114883.99230000001</v>
      </c>
      <c r="BH42" s="156">
        <f>BH63*(('Marges Produits'!$C$45)*1.05)</f>
        <v>78329.994750000013</v>
      </c>
      <c r="BI42" s="156">
        <f>BI63*(('Marges Produits'!$C$45)*1.05)</f>
        <v>78329.994750000013</v>
      </c>
    </row>
    <row r="43" spans="1:61" ht="15" customHeight="1" x14ac:dyDescent="0.35">
      <c r="A43" s="30" t="s">
        <v>56</v>
      </c>
      <c r="B43" s="156">
        <f>SUM(B41:B42)</f>
        <v>9946.6660000000011</v>
      </c>
      <c r="C43" s="36">
        <f t="shared" ref="C43:BI43" si="9">SUM(C41:C42)</f>
        <v>19893.332000000002</v>
      </c>
      <c r="D43" s="36">
        <f>SUM(D41:D42)</f>
        <v>79839.998000000007</v>
      </c>
      <c r="E43" s="36">
        <f t="shared" si="9"/>
        <v>49733.33</v>
      </c>
      <c r="F43" s="36">
        <f t="shared" si="9"/>
        <v>69626.662000000011</v>
      </c>
      <c r="G43" s="36">
        <f t="shared" si="9"/>
        <v>69626.662000000011</v>
      </c>
      <c r="H43" s="36">
        <f t="shared" si="9"/>
        <v>69626.662000000011</v>
      </c>
      <c r="I43" s="36">
        <f t="shared" si="9"/>
        <v>59679.996000000006</v>
      </c>
      <c r="J43" s="36">
        <f t="shared" si="9"/>
        <v>49733.33</v>
      </c>
      <c r="K43" s="36">
        <f t="shared" si="9"/>
        <v>29839.998000000003</v>
      </c>
      <c r="L43" s="36">
        <f t="shared" si="9"/>
        <v>19893.332000000002</v>
      </c>
      <c r="M43" s="155">
        <f t="shared" si="9"/>
        <v>19893.332000000002</v>
      </c>
      <c r="N43" s="156">
        <f t="shared" si="9"/>
        <v>29839.998000000003</v>
      </c>
      <c r="O43" s="36">
        <f t="shared" si="9"/>
        <v>59679.996000000006</v>
      </c>
      <c r="P43" s="36">
        <f t="shared" si="9"/>
        <v>99466.66</v>
      </c>
      <c r="Q43" s="36">
        <f t="shared" si="9"/>
        <v>119359.99200000001</v>
      </c>
      <c r="R43" s="36">
        <f t="shared" si="9"/>
        <v>139253.32400000002</v>
      </c>
      <c r="S43" s="36">
        <f t="shared" si="9"/>
        <v>139253.32400000002</v>
      </c>
      <c r="T43" s="36">
        <f t="shared" si="9"/>
        <v>139253.32400000002</v>
      </c>
      <c r="U43" s="36">
        <f t="shared" si="9"/>
        <v>129306.65800000001</v>
      </c>
      <c r="V43" s="36">
        <f t="shared" si="9"/>
        <v>99466.66</v>
      </c>
      <c r="W43" s="36">
        <f t="shared" si="9"/>
        <v>59679.996000000006</v>
      </c>
      <c r="X43" s="36">
        <f t="shared" si="9"/>
        <v>39786.664000000004</v>
      </c>
      <c r="Y43" s="155">
        <f t="shared" si="9"/>
        <v>39786.664000000004</v>
      </c>
      <c r="Z43" s="156">
        <f t="shared" si="9"/>
        <v>79573.328000000009</v>
      </c>
      <c r="AA43" s="36">
        <f t="shared" si="9"/>
        <v>89519.994000000006</v>
      </c>
      <c r="AB43" s="36">
        <f t="shared" si="9"/>
        <v>129306.65800000001</v>
      </c>
      <c r="AC43" s="36">
        <f t="shared" si="9"/>
        <v>169093.32200000001</v>
      </c>
      <c r="AD43" s="36">
        <f t="shared" si="9"/>
        <v>198933.32</v>
      </c>
      <c r="AE43" s="36">
        <f t="shared" si="9"/>
        <v>198933.32</v>
      </c>
      <c r="AF43" s="36">
        <f t="shared" si="9"/>
        <v>198933.32</v>
      </c>
      <c r="AG43" s="36">
        <f t="shared" si="9"/>
        <v>169093.32200000001</v>
      </c>
      <c r="AH43" s="36">
        <f t="shared" si="9"/>
        <v>149199.99000000002</v>
      </c>
      <c r="AI43" s="36">
        <f t="shared" si="9"/>
        <v>89519.994000000006</v>
      </c>
      <c r="AJ43" s="36">
        <f t="shared" si="9"/>
        <v>59679.996000000006</v>
      </c>
      <c r="AK43" s="155">
        <f t="shared" si="9"/>
        <v>59679.996000000006</v>
      </c>
      <c r="AL43" s="156">
        <f t="shared" si="9"/>
        <v>99466.66</v>
      </c>
      <c r="AM43" s="36">
        <f t="shared" si="9"/>
        <v>109413.32600000002</v>
      </c>
      <c r="AN43" s="36">
        <f t="shared" si="9"/>
        <v>159146.65600000002</v>
      </c>
      <c r="AO43" s="36">
        <f t="shared" si="9"/>
        <v>208879.98600000003</v>
      </c>
      <c r="AP43" s="36">
        <f t="shared" si="9"/>
        <v>248666.65000000002</v>
      </c>
      <c r="AQ43" s="36">
        <f t="shared" si="9"/>
        <v>248666.65000000002</v>
      </c>
      <c r="AR43" s="36">
        <f t="shared" si="9"/>
        <v>248666.65000000002</v>
      </c>
      <c r="AS43" s="36">
        <f t="shared" si="9"/>
        <v>208879.98600000003</v>
      </c>
      <c r="AT43" s="36">
        <f t="shared" si="9"/>
        <v>186499.98750000002</v>
      </c>
      <c r="AU43" s="36">
        <f t="shared" si="9"/>
        <v>109413.32600000002</v>
      </c>
      <c r="AV43" s="36">
        <f t="shared" si="9"/>
        <v>74599.99500000001</v>
      </c>
      <c r="AW43" s="155">
        <f t="shared" si="9"/>
        <v>74599.99500000001</v>
      </c>
      <c r="AX43" s="156">
        <f t="shared" si="9"/>
        <v>104439.99300000002</v>
      </c>
      <c r="AY43" s="36">
        <f t="shared" si="9"/>
        <v>114883.99230000001</v>
      </c>
      <c r="AZ43" s="36">
        <f t="shared" si="9"/>
        <v>167103.98880000002</v>
      </c>
      <c r="BA43" s="36">
        <f t="shared" si="9"/>
        <v>219323.98530000003</v>
      </c>
      <c r="BB43" s="36">
        <f t="shared" si="9"/>
        <v>261099.98250000004</v>
      </c>
      <c r="BC43" s="36">
        <f t="shared" si="9"/>
        <v>261099.98250000004</v>
      </c>
      <c r="BD43" s="36">
        <f t="shared" si="9"/>
        <v>261099.98250000004</v>
      </c>
      <c r="BE43" s="36">
        <f t="shared" si="9"/>
        <v>219323.98530000003</v>
      </c>
      <c r="BF43" s="36">
        <f t="shared" si="9"/>
        <v>195824.98687500003</v>
      </c>
      <c r="BG43" s="36">
        <f t="shared" si="9"/>
        <v>114883.99230000001</v>
      </c>
      <c r="BH43" s="36">
        <f t="shared" si="9"/>
        <v>78329.994750000013</v>
      </c>
      <c r="BI43" s="155">
        <f t="shared" si="9"/>
        <v>78329.994750000013</v>
      </c>
    </row>
    <row r="44" spans="1:61" x14ac:dyDescent="0.35">
      <c r="B44" s="153"/>
      <c r="M44" s="154"/>
      <c r="N44" s="153"/>
      <c r="Y44" s="154"/>
      <c r="Z44" s="153"/>
      <c r="AK44" s="154"/>
      <c r="AL44" s="153"/>
      <c r="AW44" s="154"/>
      <c r="AX44" s="153"/>
      <c r="BI44" s="154"/>
    </row>
    <row r="45" spans="1:61" ht="15" customHeight="1" x14ac:dyDescent="0.35">
      <c r="A45" s="35" t="s">
        <v>57</v>
      </c>
      <c r="B45" s="153"/>
      <c r="M45" s="154"/>
      <c r="N45" s="153"/>
      <c r="Y45" s="154"/>
      <c r="Z45" s="153"/>
      <c r="AK45" s="154"/>
      <c r="AL45" s="153"/>
      <c r="AW45" s="154"/>
      <c r="AX45" s="153"/>
      <c r="BI45" s="154"/>
    </row>
    <row r="46" spans="1:61" ht="15" customHeight="1" x14ac:dyDescent="0.35">
      <c r="A46" t="s">
        <v>411</v>
      </c>
      <c r="B46" s="157">
        <f>'Charges Fixes Plume'!$C$33*2</f>
        <v>2236.9739999999997</v>
      </c>
      <c r="C46" s="143">
        <f>'Charges Fixes Plume'!$C$33*2</f>
        <v>2236.9739999999997</v>
      </c>
      <c r="D46" s="143">
        <f>'Charges Fixes Plume'!$C$33*2</f>
        <v>2236.9739999999997</v>
      </c>
      <c r="E46" s="143">
        <f>'Charges Fixes Plume'!$C$33*2</f>
        <v>2236.9739999999997</v>
      </c>
      <c r="F46" s="143">
        <f>'Charges Fixes Plume'!$C$33*2</f>
        <v>2236.9739999999997</v>
      </c>
      <c r="G46" s="143">
        <f>'Charges Fixes Plume'!$C$33*2</f>
        <v>2236.9739999999997</v>
      </c>
      <c r="H46" s="143">
        <f>'Charges Fixes Plume'!$C$33*2</f>
        <v>2236.9739999999997</v>
      </c>
      <c r="I46" s="143">
        <f>'Charges Fixes Plume'!$C$33*2</f>
        <v>2236.9739999999997</v>
      </c>
      <c r="J46" s="143">
        <f>'Charges Fixes Plume'!$C$33*2</f>
        <v>2236.9739999999997</v>
      </c>
      <c r="K46" s="143">
        <f>'Charges Fixes Plume'!$C$33*2</f>
        <v>2236.9739999999997</v>
      </c>
      <c r="L46" s="143">
        <f>'Charges Fixes Plume'!$C$33*2</f>
        <v>2236.9739999999997</v>
      </c>
      <c r="M46" s="158">
        <f>'Charges Fixes Plume'!$C$33*2</f>
        <v>2236.9739999999997</v>
      </c>
      <c r="N46" s="157">
        <f>'Charges Fixes Plume'!$C$33*2</f>
        <v>2236.9739999999997</v>
      </c>
      <c r="O46" s="143">
        <f>'Charges Fixes Plume'!$C$33*2</f>
        <v>2236.9739999999997</v>
      </c>
      <c r="P46" s="143">
        <f>'Charges Fixes Plume'!$C$33*2</f>
        <v>2236.9739999999997</v>
      </c>
      <c r="Q46" s="143">
        <f>'Charges Fixes Plume'!$C$33*2</f>
        <v>2236.9739999999997</v>
      </c>
      <c r="R46" s="143">
        <f>'Charges Fixes Plume'!$C$33*2</f>
        <v>2236.9739999999997</v>
      </c>
      <c r="S46" s="143">
        <f>'Charges Fixes Plume'!$C$33*2</f>
        <v>2236.9739999999997</v>
      </c>
      <c r="T46" s="143">
        <f>'Charges Fixes Plume'!$C$33*2</f>
        <v>2236.9739999999997</v>
      </c>
      <c r="U46" s="143">
        <f>'Charges Fixes Plume'!$C$33*2</f>
        <v>2236.9739999999997</v>
      </c>
      <c r="V46" s="143">
        <f>'Charges Fixes Plume'!$C$33*2</f>
        <v>2236.9739999999997</v>
      </c>
      <c r="W46" s="143">
        <f>'Charges Fixes Plume'!$C$33*2</f>
        <v>2236.9739999999997</v>
      </c>
      <c r="X46" s="143">
        <f>'Charges Fixes Plume'!$C$33*2</f>
        <v>2236.9739999999997</v>
      </c>
      <c r="Y46" s="158">
        <f>'Charges Fixes Plume'!$C$33*2</f>
        <v>2236.9739999999997</v>
      </c>
      <c r="Z46" s="157">
        <f>'Charges Fixes Plume'!$C$33*2</f>
        <v>2236.9739999999997</v>
      </c>
      <c r="AA46" s="143">
        <f>'Charges Fixes Plume'!$C$33*2</f>
        <v>2236.9739999999997</v>
      </c>
      <c r="AB46" s="143">
        <f>'Charges Fixes Plume'!$C$33*2</f>
        <v>2236.9739999999997</v>
      </c>
      <c r="AC46" s="143">
        <f>'Charges Fixes Plume'!$C$33*2</f>
        <v>2236.9739999999997</v>
      </c>
      <c r="AD46" s="143">
        <f>'Charges Fixes Plume'!$C$33*2</f>
        <v>2236.9739999999997</v>
      </c>
      <c r="AE46" s="143">
        <f>'Charges Fixes Plume'!$C$33*2</f>
        <v>2236.9739999999997</v>
      </c>
      <c r="AF46" s="143">
        <f>'Charges Fixes Plume'!$C$33*2</f>
        <v>2236.9739999999997</v>
      </c>
      <c r="AG46" s="143">
        <f>'Charges Fixes Plume'!$C$33*2</f>
        <v>2236.9739999999997</v>
      </c>
      <c r="AH46" s="143">
        <f>'Charges Fixes Plume'!$C$33*2</f>
        <v>2236.9739999999997</v>
      </c>
      <c r="AI46" s="143">
        <f>'Charges Fixes Plume'!$C$33*2</f>
        <v>2236.9739999999997</v>
      </c>
      <c r="AJ46" s="143">
        <f>'Charges Fixes Plume'!$C$33*2</f>
        <v>2236.9739999999997</v>
      </c>
      <c r="AK46" s="158">
        <f>'Charges Fixes Plume'!$C$33*2</f>
        <v>2236.9739999999997</v>
      </c>
      <c r="AL46" s="157">
        <f>'Charges Fixes Plume'!$C$33*2</f>
        <v>2236.9739999999997</v>
      </c>
      <c r="AM46" s="143">
        <f>'Charges Fixes Plume'!$C$33*2</f>
        <v>2236.9739999999997</v>
      </c>
      <c r="AN46" s="143">
        <f>'Charges Fixes Plume'!$C$33*2</f>
        <v>2236.9739999999997</v>
      </c>
      <c r="AO46" s="143">
        <f>'Charges Fixes Plume'!$C$33*2</f>
        <v>2236.9739999999997</v>
      </c>
      <c r="AP46" s="143">
        <f>'Charges Fixes Plume'!$C$33*2</f>
        <v>2236.9739999999997</v>
      </c>
      <c r="AQ46" s="143">
        <f>'Charges Fixes Plume'!$C$33*2</f>
        <v>2236.9739999999997</v>
      </c>
      <c r="AR46" s="143">
        <f>'Charges Fixes Plume'!$C$33*2</f>
        <v>2236.9739999999997</v>
      </c>
      <c r="AS46" s="143">
        <f>'Charges Fixes Plume'!$C$33*2</f>
        <v>2236.9739999999997</v>
      </c>
      <c r="AT46" s="143">
        <f>'Charges Fixes Plume'!$C$33*2</f>
        <v>2236.9739999999997</v>
      </c>
      <c r="AU46" s="143">
        <f>'Charges Fixes Plume'!$C$33*2</f>
        <v>2236.9739999999997</v>
      </c>
      <c r="AV46" s="143">
        <f>'Charges Fixes Plume'!$C$33*2</f>
        <v>2236.9739999999997</v>
      </c>
      <c r="AW46" s="158">
        <f>'Charges Fixes Plume'!$C$33*2</f>
        <v>2236.9739999999997</v>
      </c>
      <c r="AX46" s="157">
        <f>'Charges Fixes Plume'!$C$33*2</f>
        <v>2236.9739999999997</v>
      </c>
      <c r="AY46" s="143">
        <f>'Charges Fixes Plume'!$C$33*2</f>
        <v>2236.9739999999997</v>
      </c>
      <c r="AZ46" s="143">
        <f>'Charges Fixes Plume'!$C$33*2</f>
        <v>2236.9739999999997</v>
      </c>
      <c r="BA46" s="143">
        <f>'Charges Fixes Plume'!$C$33*2</f>
        <v>2236.9739999999997</v>
      </c>
      <c r="BB46" s="143">
        <f>'Charges Fixes Plume'!$C$33*2</f>
        <v>2236.9739999999997</v>
      </c>
      <c r="BC46" s="143">
        <f>'Charges Fixes Plume'!$C$33*2</f>
        <v>2236.9739999999997</v>
      </c>
      <c r="BD46" s="143">
        <f>'Charges Fixes Plume'!$C$33*2</f>
        <v>2236.9739999999997</v>
      </c>
      <c r="BE46" s="143">
        <f>'Charges Fixes Plume'!$C$33*2</f>
        <v>2236.9739999999997</v>
      </c>
      <c r="BF46" s="143">
        <f>'Charges Fixes Plume'!$C$33*2</f>
        <v>2236.9739999999997</v>
      </c>
      <c r="BG46" s="143">
        <f>'Charges Fixes Plume'!$C$33*2</f>
        <v>2236.9739999999997</v>
      </c>
      <c r="BH46" s="143">
        <f>'Charges Fixes Plume'!$C$33*2</f>
        <v>2236.9739999999997</v>
      </c>
      <c r="BI46" s="158">
        <f>'Charges Fixes Plume'!$C$33*2</f>
        <v>2236.9739999999997</v>
      </c>
    </row>
    <row r="47" spans="1:61" ht="15" customHeight="1" x14ac:dyDescent="0.35">
      <c r="A47" t="s">
        <v>18</v>
      </c>
      <c r="B47" s="156">
        <f>'Charges Fixes Plume'!$D$13/12</f>
        <v>8456.3333333333339</v>
      </c>
      <c r="C47" s="36">
        <f>'Charges Fixes Plume'!$D$13/12</f>
        <v>8456.3333333333339</v>
      </c>
      <c r="D47" s="36">
        <f>'Charges Fixes Plume'!$D$13/12</f>
        <v>8456.3333333333339</v>
      </c>
      <c r="E47" s="36">
        <f>'Charges Fixes Plume'!$D$13/12</f>
        <v>8456.3333333333339</v>
      </c>
      <c r="F47" s="36">
        <f>'Charges Fixes Plume'!$D$13/12</f>
        <v>8456.3333333333339</v>
      </c>
      <c r="G47" s="36">
        <f>'Charges Fixes Plume'!$D$13/12</f>
        <v>8456.3333333333339</v>
      </c>
      <c r="H47" s="36">
        <f>'Charges Fixes Plume'!$D$13/12</f>
        <v>8456.3333333333339</v>
      </c>
      <c r="I47" s="36">
        <f>'Charges Fixes Plume'!$D$13/12</f>
        <v>8456.3333333333339</v>
      </c>
      <c r="J47" s="36">
        <f>'Charges Fixes Plume'!$D$13/12</f>
        <v>8456.3333333333339</v>
      </c>
      <c r="K47" s="36">
        <f>'Charges Fixes Plume'!$D$13/12</f>
        <v>8456.3333333333339</v>
      </c>
      <c r="L47" s="36">
        <f>'Charges Fixes Plume'!$D$13/12</f>
        <v>8456.3333333333339</v>
      </c>
      <c r="M47" s="155">
        <f>'Charges Fixes Plume'!$D$13/12</f>
        <v>8456.3333333333339</v>
      </c>
      <c r="N47" s="156">
        <f>'Charges Fixes Plume'!$D$13/12</f>
        <v>8456.3333333333339</v>
      </c>
      <c r="O47" s="36">
        <f>'Charges Fixes Plume'!$D$13/12</f>
        <v>8456.3333333333339</v>
      </c>
      <c r="P47" s="36">
        <f>'Charges Fixes Plume'!$D$13/12</f>
        <v>8456.3333333333339</v>
      </c>
      <c r="Q47" s="36">
        <f>'Charges Fixes Plume'!$D$13/12</f>
        <v>8456.3333333333339</v>
      </c>
      <c r="R47" s="36">
        <f>'Charges Fixes Plume'!$D$13/12</f>
        <v>8456.3333333333339</v>
      </c>
      <c r="S47" s="36">
        <f>'Charges Fixes Plume'!$D$13/12</f>
        <v>8456.3333333333339</v>
      </c>
      <c r="T47" s="36">
        <f>'Charges Fixes Plume'!$D$13/12</f>
        <v>8456.3333333333339</v>
      </c>
      <c r="U47" s="36">
        <f>'Charges Fixes Plume'!$D$13/12</f>
        <v>8456.3333333333339</v>
      </c>
      <c r="V47" s="36">
        <f>'Charges Fixes Plume'!$D$13/12</f>
        <v>8456.3333333333339</v>
      </c>
      <c r="W47" s="36">
        <f>'Charges Fixes Plume'!$D$13/12</f>
        <v>8456.3333333333339</v>
      </c>
      <c r="X47" s="36">
        <f>'Charges Fixes Plume'!$D$13/12</f>
        <v>8456.3333333333339</v>
      </c>
      <c r="Y47" s="155">
        <f>'Charges Fixes Plume'!$D$13/12</f>
        <v>8456.3333333333339</v>
      </c>
      <c r="Z47" s="156">
        <f>'Charges Fixes Plume'!$D$13/12</f>
        <v>8456.3333333333339</v>
      </c>
      <c r="AA47" s="36">
        <f>'Charges Fixes Plume'!$D$13/12</f>
        <v>8456.3333333333339</v>
      </c>
      <c r="AB47" s="36">
        <f>'Charges Fixes Plume'!$D$13/12</f>
        <v>8456.3333333333339</v>
      </c>
      <c r="AC47" s="36">
        <f>'Charges Fixes Plume'!$D$13/12</f>
        <v>8456.3333333333339</v>
      </c>
      <c r="AD47" s="36">
        <f>'Charges Fixes Plume'!$D$13/12</f>
        <v>8456.3333333333339</v>
      </c>
      <c r="AE47" s="36">
        <f>'Charges Fixes Plume'!$D$13/12</f>
        <v>8456.3333333333339</v>
      </c>
      <c r="AF47" s="36">
        <f>'Charges Fixes Plume'!$D$13/12</f>
        <v>8456.3333333333339</v>
      </c>
      <c r="AG47" s="36">
        <f>'Charges Fixes Plume'!$D$13/12</f>
        <v>8456.3333333333339</v>
      </c>
      <c r="AH47" s="36">
        <f>'Charges Fixes Plume'!$D$13/12</f>
        <v>8456.3333333333339</v>
      </c>
      <c r="AI47" s="36">
        <f>'Charges Fixes Plume'!$D$13/12</f>
        <v>8456.3333333333339</v>
      </c>
      <c r="AJ47" s="36">
        <f>'Charges Fixes Plume'!$D$13/12</f>
        <v>8456.3333333333339</v>
      </c>
      <c r="AK47" s="155">
        <f>'Charges Fixes Plume'!$D$13/12</f>
        <v>8456.3333333333339</v>
      </c>
      <c r="AL47" s="156">
        <f>'Charges Fixes Plume'!$D$13/12</f>
        <v>8456.3333333333339</v>
      </c>
      <c r="AM47" s="36">
        <f>'Charges Fixes Plume'!$D$13/12</f>
        <v>8456.3333333333339</v>
      </c>
      <c r="AN47" s="36">
        <f>'Charges Fixes Plume'!$D$13/12</f>
        <v>8456.3333333333339</v>
      </c>
      <c r="AO47" s="36">
        <f>'Charges Fixes Plume'!$D$13/12</f>
        <v>8456.3333333333339</v>
      </c>
      <c r="AP47" s="36">
        <f>'Charges Fixes Plume'!$D$13/12</f>
        <v>8456.3333333333339</v>
      </c>
      <c r="AQ47" s="36">
        <f>'Charges Fixes Plume'!$D$13/12</f>
        <v>8456.3333333333339</v>
      </c>
      <c r="AR47" s="36">
        <f>'Charges Fixes Plume'!$D$13/12</f>
        <v>8456.3333333333339</v>
      </c>
      <c r="AS47" s="36">
        <f>'Charges Fixes Plume'!$D$13/12</f>
        <v>8456.3333333333339</v>
      </c>
      <c r="AT47" s="36">
        <f>'Charges Fixes Plume'!$D$13/12</f>
        <v>8456.3333333333339</v>
      </c>
      <c r="AU47" s="36">
        <f>'Charges Fixes Plume'!$D$13/12</f>
        <v>8456.3333333333339</v>
      </c>
      <c r="AV47" s="36">
        <f>'Charges Fixes Plume'!$D$13/12</f>
        <v>8456.3333333333339</v>
      </c>
      <c r="AW47" s="155">
        <f>'Charges Fixes Plume'!$D$13/12</f>
        <v>8456.3333333333339</v>
      </c>
      <c r="AX47" s="156">
        <f>'Charges Fixes Plume'!$D$13/12</f>
        <v>8456.3333333333339</v>
      </c>
      <c r="AY47" s="36">
        <f>'Charges Fixes Plume'!$D$13/12</f>
        <v>8456.3333333333339</v>
      </c>
      <c r="AZ47" s="36">
        <f>'Charges Fixes Plume'!$D$13/12</f>
        <v>8456.3333333333339</v>
      </c>
      <c r="BA47" s="36">
        <f>'Charges Fixes Plume'!$D$13/12</f>
        <v>8456.3333333333339</v>
      </c>
      <c r="BB47" s="36">
        <f>'Charges Fixes Plume'!$D$13/12</f>
        <v>8456.3333333333339</v>
      </c>
      <c r="BC47" s="36">
        <f>'Charges Fixes Plume'!$D$13/12</f>
        <v>8456.3333333333339</v>
      </c>
      <c r="BD47" s="36">
        <f>'Charges Fixes Plume'!$D$13/12</f>
        <v>8456.3333333333339</v>
      </c>
      <c r="BE47" s="36">
        <f>'Charges Fixes Plume'!$D$13/12</f>
        <v>8456.3333333333339</v>
      </c>
      <c r="BF47" s="36">
        <f>'Charges Fixes Plume'!$D$13/12</f>
        <v>8456.3333333333339</v>
      </c>
      <c r="BG47" s="36">
        <f>'Charges Fixes Plume'!$D$13/12</f>
        <v>8456.3333333333339</v>
      </c>
      <c r="BH47" s="36">
        <f>'Charges Fixes Plume'!$D$13/12</f>
        <v>8456.3333333333339</v>
      </c>
      <c r="BI47" s="155">
        <f>'Charges Fixes Plume'!$D$13/12</f>
        <v>8456.3333333333339</v>
      </c>
    </row>
    <row r="48" spans="1:61" ht="15" customHeight="1" x14ac:dyDescent="0.35">
      <c r="A48" t="s">
        <v>59</v>
      </c>
      <c r="B48" s="156">
        <f>'Charges Fixes Plume'!$C$28/12</f>
        <v>3342.8333333333335</v>
      </c>
      <c r="C48" s="36">
        <f>'Charges Fixes Plume'!$C$28/12</f>
        <v>3342.8333333333335</v>
      </c>
      <c r="D48" s="36">
        <f>'Charges Fixes Plume'!$C$28/12</f>
        <v>3342.8333333333335</v>
      </c>
      <c r="E48" s="36">
        <f>'Charges Fixes Plume'!$C$28/12</f>
        <v>3342.8333333333335</v>
      </c>
      <c r="F48" s="36">
        <f>'Charges Fixes Plume'!$C$28/12</f>
        <v>3342.8333333333335</v>
      </c>
      <c r="G48" s="36">
        <f>'Charges Fixes Plume'!$C$28/12</f>
        <v>3342.8333333333335</v>
      </c>
      <c r="H48" s="36">
        <f>'Charges Fixes Plume'!$C$28/12</f>
        <v>3342.8333333333335</v>
      </c>
      <c r="I48" s="36">
        <f>'Charges Fixes Plume'!$C$28/12</f>
        <v>3342.8333333333335</v>
      </c>
      <c r="J48" s="36">
        <f>'Charges Fixes Plume'!$C$28/12</f>
        <v>3342.8333333333335</v>
      </c>
      <c r="K48" s="36">
        <f>'Charges Fixes Plume'!$C$28/12</f>
        <v>3342.8333333333335</v>
      </c>
      <c r="L48" s="36">
        <f>'Charges Fixes Plume'!$C$28/12</f>
        <v>3342.8333333333335</v>
      </c>
      <c r="M48" s="155">
        <f>'Charges Fixes Plume'!$C$28/12</f>
        <v>3342.8333333333335</v>
      </c>
      <c r="N48" s="156">
        <f>'Charges Fixes Plume'!$C$28/12</f>
        <v>3342.8333333333335</v>
      </c>
      <c r="O48" s="36">
        <f>'Charges Fixes Plume'!$C$28/12</f>
        <v>3342.8333333333335</v>
      </c>
      <c r="P48" s="36">
        <f>'Charges Fixes Plume'!$C$28/12</f>
        <v>3342.8333333333335</v>
      </c>
      <c r="Q48" s="36">
        <f>'Charges Fixes Plume'!$C$28/12</f>
        <v>3342.8333333333335</v>
      </c>
      <c r="R48" s="36">
        <f>'Charges Fixes Plume'!$C$28/12</f>
        <v>3342.8333333333335</v>
      </c>
      <c r="S48" s="36">
        <f>'Charges Fixes Plume'!$C$28/12</f>
        <v>3342.8333333333335</v>
      </c>
      <c r="T48" s="36">
        <f>'Charges Fixes Plume'!$C$28/12</f>
        <v>3342.8333333333335</v>
      </c>
      <c r="U48" s="36">
        <f>'Charges Fixes Plume'!$C$28/12</f>
        <v>3342.8333333333335</v>
      </c>
      <c r="V48" s="36">
        <f>'Charges Fixes Plume'!$C$28/12</f>
        <v>3342.8333333333335</v>
      </c>
      <c r="W48" s="36">
        <f>'Charges Fixes Plume'!$C$28/12</f>
        <v>3342.8333333333335</v>
      </c>
      <c r="X48" s="36">
        <f>'Charges Fixes Plume'!$C$28/12</f>
        <v>3342.8333333333335</v>
      </c>
      <c r="Y48" s="155">
        <f>'Charges Fixes Plume'!$C$28/12</f>
        <v>3342.8333333333335</v>
      </c>
      <c r="Z48" s="156">
        <f>'Charges Fixes Plume'!$C$28/12</f>
        <v>3342.8333333333335</v>
      </c>
      <c r="AA48" s="36">
        <f>'Charges Fixes Plume'!$C$28/12</f>
        <v>3342.8333333333335</v>
      </c>
      <c r="AB48" s="36">
        <f>'Charges Fixes Plume'!$C$28/12</f>
        <v>3342.8333333333335</v>
      </c>
      <c r="AC48" s="36">
        <f>'Charges Fixes Plume'!$C$28/12</f>
        <v>3342.8333333333335</v>
      </c>
      <c r="AD48" s="36">
        <f>'Charges Fixes Plume'!$C$28/12</f>
        <v>3342.8333333333335</v>
      </c>
      <c r="AE48" s="36">
        <f>'Charges Fixes Plume'!$C$28/12</f>
        <v>3342.8333333333335</v>
      </c>
      <c r="AF48" s="36">
        <f>'Charges Fixes Plume'!$C$28/12</f>
        <v>3342.8333333333335</v>
      </c>
      <c r="AG48" s="36">
        <f>'Charges Fixes Plume'!$C$28/12</f>
        <v>3342.8333333333335</v>
      </c>
      <c r="AH48" s="36">
        <f>'Charges Fixes Plume'!$C$28/12</f>
        <v>3342.8333333333335</v>
      </c>
      <c r="AI48" s="36">
        <f>'Charges Fixes Plume'!$C$28/12</f>
        <v>3342.8333333333335</v>
      </c>
      <c r="AJ48" s="36">
        <f>'Charges Fixes Plume'!$C$28/12</f>
        <v>3342.8333333333335</v>
      </c>
      <c r="AK48" s="155">
        <f>'Charges Fixes Plume'!$C$28/12</f>
        <v>3342.8333333333335</v>
      </c>
      <c r="AL48" s="156">
        <f>'Charges Fixes Plume'!$C$28/12</f>
        <v>3342.8333333333335</v>
      </c>
      <c r="AM48" s="36">
        <f>'Charges Fixes Plume'!$C$28/12</f>
        <v>3342.8333333333335</v>
      </c>
      <c r="AN48" s="36">
        <f>'Charges Fixes Plume'!$C$28/12</f>
        <v>3342.8333333333335</v>
      </c>
      <c r="AO48" s="36">
        <f>'Charges Fixes Plume'!$C$28/12</f>
        <v>3342.8333333333335</v>
      </c>
      <c r="AP48" s="36">
        <f>'Charges Fixes Plume'!$C$28/12</f>
        <v>3342.8333333333335</v>
      </c>
      <c r="AQ48" s="36">
        <f>'Charges Fixes Plume'!$C$28/12</f>
        <v>3342.8333333333335</v>
      </c>
      <c r="AR48" s="36">
        <f>'Charges Fixes Plume'!$C$28/12</f>
        <v>3342.8333333333335</v>
      </c>
      <c r="AS48" s="36">
        <f>'Charges Fixes Plume'!$C$28/12</f>
        <v>3342.8333333333335</v>
      </c>
      <c r="AT48" s="36">
        <f>'Charges Fixes Plume'!$C$28/12</f>
        <v>3342.8333333333335</v>
      </c>
      <c r="AU48" s="36">
        <f>'Charges Fixes Plume'!$C$28/12</f>
        <v>3342.8333333333335</v>
      </c>
      <c r="AV48" s="36">
        <f>'Charges Fixes Plume'!$C$28/12</f>
        <v>3342.8333333333335</v>
      </c>
      <c r="AW48" s="155">
        <f>'Charges Fixes Plume'!$C$28/12</f>
        <v>3342.8333333333335</v>
      </c>
      <c r="AX48" s="156">
        <f>'Charges Fixes Plume'!$C$28/12</f>
        <v>3342.8333333333335</v>
      </c>
      <c r="AY48" s="36">
        <f>'Charges Fixes Plume'!$C$28/12</f>
        <v>3342.8333333333335</v>
      </c>
      <c r="AZ48" s="36">
        <f>'Charges Fixes Plume'!$C$28/12</f>
        <v>3342.8333333333335</v>
      </c>
      <c r="BA48" s="36">
        <f>'Charges Fixes Plume'!$C$28/12</f>
        <v>3342.8333333333335</v>
      </c>
      <c r="BB48" s="36">
        <f>'Charges Fixes Plume'!$C$28/12</f>
        <v>3342.8333333333335</v>
      </c>
      <c r="BC48" s="36">
        <f>'Charges Fixes Plume'!$C$28/12</f>
        <v>3342.8333333333335</v>
      </c>
      <c r="BD48" s="36">
        <f>'Charges Fixes Plume'!$C$28/12</f>
        <v>3342.8333333333335</v>
      </c>
      <c r="BE48" s="36">
        <f>'Charges Fixes Plume'!$C$28/12</f>
        <v>3342.8333333333335</v>
      </c>
      <c r="BF48" s="36">
        <f>'Charges Fixes Plume'!$C$28/12</f>
        <v>3342.8333333333335</v>
      </c>
      <c r="BG48" s="36">
        <f>'Charges Fixes Plume'!$C$28/12</f>
        <v>3342.8333333333335</v>
      </c>
      <c r="BH48" s="36">
        <f>'Charges Fixes Plume'!$C$28/12</f>
        <v>3342.8333333333335</v>
      </c>
      <c r="BI48" s="155">
        <f>'Charges Fixes Plume'!$C$28/12</f>
        <v>3342.8333333333335</v>
      </c>
    </row>
    <row r="49" spans="1:61" ht="15" customHeight="1" x14ac:dyDescent="0.35">
      <c r="A49" t="s">
        <v>60</v>
      </c>
      <c r="B49" s="156">
        <v>0</v>
      </c>
      <c r="C49" s="36">
        <v>0</v>
      </c>
      <c r="D49" s="36">
        <v>4473.9479999999994</v>
      </c>
      <c r="E49" s="36">
        <v>4473.9479999999994</v>
      </c>
      <c r="F49" s="36">
        <v>0</v>
      </c>
      <c r="G49" s="36">
        <v>0</v>
      </c>
      <c r="H49" s="36">
        <v>0</v>
      </c>
      <c r="I49" s="36">
        <v>4473.9479999999994</v>
      </c>
      <c r="J49" s="36">
        <v>0</v>
      </c>
      <c r="K49" s="36">
        <v>0</v>
      </c>
      <c r="L49" s="36">
        <v>0</v>
      </c>
      <c r="M49" s="155">
        <v>0</v>
      </c>
      <c r="N49" s="156">
        <v>0</v>
      </c>
      <c r="O49" s="36">
        <v>0</v>
      </c>
      <c r="P49" s="36">
        <v>4473.9479999999994</v>
      </c>
      <c r="Q49" s="36">
        <v>4473.9479999999994</v>
      </c>
      <c r="R49" s="36">
        <v>0</v>
      </c>
      <c r="S49" s="36">
        <v>0</v>
      </c>
      <c r="T49" s="36">
        <v>0</v>
      </c>
      <c r="U49" s="36">
        <v>4473.9479999999994</v>
      </c>
      <c r="V49" s="36">
        <v>0</v>
      </c>
      <c r="W49" s="36">
        <v>0</v>
      </c>
      <c r="X49" s="36">
        <v>0</v>
      </c>
      <c r="Y49" s="155">
        <v>0</v>
      </c>
      <c r="Z49" s="156">
        <v>0</v>
      </c>
      <c r="AA49" s="36">
        <v>0</v>
      </c>
      <c r="AB49" s="36">
        <v>4473.9479999999994</v>
      </c>
      <c r="AC49" s="36">
        <v>4473.9479999999994</v>
      </c>
      <c r="AD49" s="36">
        <v>0</v>
      </c>
      <c r="AE49" s="36">
        <v>0</v>
      </c>
      <c r="AF49" s="36">
        <v>0</v>
      </c>
      <c r="AG49" s="36">
        <v>4473.9479999999994</v>
      </c>
      <c r="AH49" s="36">
        <v>0</v>
      </c>
      <c r="AI49" s="36">
        <v>0</v>
      </c>
      <c r="AJ49" s="36">
        <v>0</v>
      </c>
      <c r="AK49" s="155">
        <v>0</v>
      </c>
      <c r="AL49" s="156">
        <v>0</v>
      </c>
      <c r="AM49" s="36">
        <v>0</v>
      </c>
      <c r="AN49" s="36">
        <v>4473.9479999999994</v>
      </c>
      <c r="AO49" s="36">
        <v>4473.9479999999994</v>
      </c>
      <c r="AP49" s="36">
        <v>0</v>
      </c>
      <c r="AQ49" s="36">
        <v>0</v>
      </c>
      <c r="AR49" s="36">
        <v>0</v>
      </c>
      <c r="AS49" s="36">
        <v>4473.9479999999994</v>
      </c>
      <c r="AT49" s="36">
        <v>0</v>
      </c>
      <c r="AU49" s="36">
        <v>0</v>
      </c>
      <c r="AV49" s="36">
        <v>0</v>
      </c>
      <c r="AW49" s="155">
        <v>0</v>
      </c>
      <c r="AX49" s="156">
        <v>0</v>
      </c>
      <c r="AY49" s="36">
        <v>0</v>
      </c>
      <c r="AZ49" s="36">
        <v>4473.9479999999994</v>
      </c>
      <c r="BA49" s="36">
        <v>4473.9479999999994</v>
      </c>
      <c r="BB49" s="36">
        <v>0</v>
      </c>
      <c r="BC49" s="36">
        <v>0</v>
      </c>
      <c r="BD49" s="36">
        <v>0</v>
      </c>
      <c r="BE49" s="36">
        <v>4473.9479999999994</v>
      </c>
      <c r="BF49" s="36">
        <v>0</v>
      </c>
      <c r="BG49" s="36">
        <v>0</v>
      </c>
      <c r="BH49" s="36">
        <v>0</v>
      </c>
      <c r="BI49" s="155">
        <v>0</v>
      </c>
    </row>
    <row r="50" spans="1:61" x14ac:dyDescent="0.35">
      <c r="A50" t="s">
        <v>61</v>
      </c>
      <c r="B50" s="153">
        <v>0</v>
      </c>
      <c r="C50">
        <v>0</v>
      </c>
      <c r="D50">
        <v>5570</v>
      </c>
      <c r="E50">
        <v>5570</v>
      </c>
      <c r="F50">
        <v>0</v>
      </c>
      <c r="G50">
        <v>0</v>
      </c>
      <c r="H50">
        <v>0</v>
      </c>
      <c r="I50">
        <v>1000</v>
      </c>
      <c r="J50">
        <v>0</v>
      </c>
      <c r="K50">
        <v>0</v>
      </c>
      <c r="L50">
        <v>0</v>
      </c>
      <c r="M50" s="154">
        <v>0</v>
      </c>
      <c r="N50" s="153">
        <v>0</v>
      </c>
      <c r="O50">
        <v>0</v>
      </c>
      <c r="P50">
        <v>5570</v>
      </c>
      <c r="Q50">
        <v>5570</v>
      </c>
      <c r="R50">
        <v>0</v>
      </c>
      <c r="S50">
        <v>0</v>
      </c>
      <c r="T50">
        <v>0</v>
      </c>
      <c r="U50">
        <v>1000</v>
      </c>
      <c r="V50">
        <v>0</v>
      </c>
      <c r="W50">
        <v>0</v>
      </c>
      <c r="X50">
        <v>0</v>
      </c>
      <c r="Y50" s="154">
        <v>0</v>
      </c>
      <c r="Z50" s="153">
        <v>0</v>
      </c>
      <c r="AA50">
        <v>0</v>
      </c>
      <c r="AB50">
        <v>5570</v>
      </c>
      <c r="AC50">
        <v>5570</v>
      </c>
      <c r="AD50">
        <v>0</v>
      </c>
      <c r="AE50">
        <v>0</v>
      </c>
      <c r="AF50">
        <v>0</v>
      </c>
      <c r="AG50">
        <v>1000</v>
      </c>
      <c r="AH50">
        <v>0</v>
      </c>
      <c r="AI50">
        <v>0</v>
      </c>
      <c r="AJ50">
        <v>0</v>
      </c>
      <c r="AK50" s="154">
        <v>0</v>
      </c>
      <c r="AL50" s="153">
        <v>0</v>
      </c>
      <c r="AM50">
        <v>0</v>
      </c>
      <c r="AN50">
        <v>5570</v>
      </c>
      <c r="AO50">
        <v>5570</v>
      </c>
      <c r="AP50">
        <v>0</v>
      </c>
      <c r="AQ50">
        <v>0</v>
      </c>
      <c r="AR50">
        <v>0</v>
      </c>
      <c r="AS50">
        <v>1000</v>
      </c>
      <c r="AT50">
        <v>0</v>
      </c>
      <c r="AU50">
        <v>0</v>
      </c>
      <c r="AV50">
        <v>0</v>
      </c>
      <c r="AW50" s="154">
        <v>0</v>
      </c>
      <c r="AX50" s="153">
        <v>0</v>
      </c>
      <c r="AY50">
        <v>0</v>
      </c>
      <c r="AZ50">
        <v>5570</v>
      </c>
      <c r="BA50">
        <v>5570</v>
      </c>
      <c r="BB50">
        <v>0</v>
      </c>
      <c r="BC50">
        <v>0</v>
      </c>
      <c r="BD50">
        <v>0</v>
      </c>
      <c r="BE50">
        <v>1000</v>
      </c>
      <c r="BF50">
        <v>0</v>
      </c>
      <c r="BG50">
        <v>0</v>
      </c>
      <c r="BH50">
        <v>0</v>
      </c>
      <c r="BI50" s="154">
        <v>0</v>
      </c>
    </row>
    <row r="51" spans="1:61" ht="15" customHeight="1" x14ac:dyDescent="0.35">
      <c r="A51" t="s">
        <v>62</v>
      </c>
      <c r="B51" s="156">
        <f>B62*'Marges Produits'!$E$45</f>
        <v>22369.739999999998</v>
      </c>
      <c r="C51" s="36">
        <f>C62*'Marges Produits'!$E$45</f>
        <v>26098.03</v>
      </c>
      <c r="D51" s="36">
        <f>D62*'Marges Produits'!$E$45</f>
        <v>26098.03</v>
      </c>
      <c r="E51" s="36">
        <f>E62*'Marges Produits'!$E$45</f>
        <v>29826.32</v>
      </c>
      <c r="F51" s="36">
        <f>F62*'Marges Produits'!$E$45</f>
        <v>27030.102500000001</v>
      </c>
      <c r="G51" s="36">
        <f>G62*'Marges Produits'!$E$45</f>
        <v>26098.03</v>
      </c>
      <c r="H51" s="36">
        <f>H62*'Marges Produits'!$E$45</f>
        <v>26098.03</v>
      </c>
      <c r="I51" s="36">
        <f>I62*'Marges Produits'!$E$45</f>
        <v>22369.739999999998</v>
      </c>
      <c r="J51" s="36">
        <f>J62*'Marges Produits'!$E$45</f>
        <v>18641.45</v>
      </c>
      <c r="K51" s="36">
        <f>K62*'Marges Produits'!$E$45</f>
        <v>11184.869999999999</v>
      </c>
      <c r="L51" s="36">
        <f>L62*'Marges Produits'!$E$45</f>
        <v>7456.58</v>
      </c>
      <c r="M51" s="155">
        <f>M62*'Marges Produits'!$E$45</f>
        <v>7456.58</v>
      </c>
      <c r="N51" s="156">
        <f>N62*'Marges Produits'!$E$45</f>
        <v>44739.479999999996</v>
      </c>
      <c r="O51" s="36">
        <f>O62*'Marges Produits'!$E$45</f>
        <v>44739.479999999996</v>
      </c>
      <c r="P51" s="36">
        <f>P62*'Marges Produits'!$E$45</f>
        <v>52196.06</v>
      </c>
      <c r="Q51" s="36">
        <f>Q62*'Marges Produits'!$E$45</f>
        <v>52196.06</v>
      </c>
      <c r="R51" s="36">
        <f>R62*'Marges Produits'!$E$45</f>
        <v>52196.06</v>
      </c>
      <c r="S51" s="36">
        <f>S62*'Marges Produits'!$E$45</f>
        <v>52196.06</v>
      </c>
      <c r="T51" s="36">
        <f>T62*'Marges Produits'!$E$45</f>
        <v>52196.06</v>
      </c>
      <c r="U51" s="36">
        <f>U62*'Marges Produits'!$E$45</f>
        <v>44739.479999999996</v>
      </c>
      <c r="V51" s="36">
        <f>V62*'Marges Produits'!$E$45</f>
        <v>37282.9</v>
      </c>
      <c r="W51" s="36">
        <f>W62*'Marges Produits'!$E$45</f>
        <v>22369.739999999998</v>
      </c>
      <c r="X51" s="36">
        <f>X62*'Marges Produits'!$E$45</f>
        <v>14913.16</v>
      </c>
      <c r="Y51" s="155">
        <f>Y62*'Marges Produits'!$E$45</f>
        <v>14913.16</v>
      </c>
      <c r="Z51" s="156">
        <f>Z62*'Marges Produits'!$E$45</f>
        <v>67109.22</v>
      </c>
      <c r="AA51" s="36">
        <f>AA62*'Marges Produits'!$E$45</f>
        <v>67109.22</v>
      </c>
      <c r="AB51" s="36">
        <f>AB62*'Marges Produits'!$E$45</f>
        <v>78294.09</v>
      </c>
      <c r="AC51" s="36">
        <f>AC62*'Marges Produits'!$E$45</f>
        <v>78294.09</v>
      </c>
      <c r="AD51" s="36">
        <f>AD62*'Marges Produits'!$E$45</f>
        <v>78294.09</v>
      </c>
      <c r="AE51" s="36">
        <f>AE62*'Marges Produits'!$E$45</f>
        <v>78294.09</v>
      </c>
      <c r="AF51" s="36">
        <f>AF62*'Marges Produits'!$E$45</f>
        <v>78294.09</v>
      </c>
      <c r="AG51" s="36">
        <f>AG62*'Marges Produits'!$E$45</f>
        <v>67109.22</v>
      </c>
      <c r="AH51" s="36">
        <f>AH62*'Marges Produits'!$E$45</f>
        <v>55924.35</v>
      </c>
      <c r="AI51" s="36">
        <f>AI62*'Marges Produits'!$E$45</f>
        <v>33554.61</v>
      </c>
      <c r="AJ51" s="36">
        <f>AJ62*'Marges Produits'!$E$45</f>
        <v>22369.739999999998</v>
      </c>
      <c r="AK51" s="155">
        <f>AK62*'Marges Produits'!$E$45</f>
        <v>22369.739999999998</v>
      </c>
      <c r="AL51" s="156">
        <f>AL62*'Marges Produits'!$E$45</f>
        <v>44739.479999999996</v>
      </c>
      <c r="AM51" s="36">
        <f>AM62*'Marges Produits'!$E$45</f>
        <v>74565.8</v>
      </c>
      <c r="AN51" s="36">
        <f>AN62*'Marges Produits'!$E$45</f>
        <v>85750.67</v>
      </c>
      <c r="AO51" s="36">
        <f>AO62*'Marges Produits'!$E$45</f>
        <v>86682.742499999993</v>
      </c>
      <c r="AP51" s="36">
        <f>AP62*'Marges Produits'!$E$45</f>
        <v>93207.25</v>
      </c>
      <c r="AQ51" s="36">
        <f>AQ62*'Marges Produits'!$E$45</f>
        <v>93207.25</v>
      </c>
      <c r="AR51" s="36">
        <f>AR62*'Marges Produits'!$E$45</f>
        <v>93207.25</v>
      </c>
      <c r="AS51" s="36">
        <f>AS62*'Marges Produits'!$E$45</f>
        <v>78294.09</v>
      </c>
      <c r="AT51" s="36">
        <f>AT62*'Marges Produits'!$E$45</f>
        <v>69905.4375</v>
      </c>
      <c r="AU51" s="36">
        <f>AU62*'Marges Produits'!$E$45</f>
        <v>41011.19</v>
      </c>
      <c r="AV51" s="36">
        <f>AV62*'Marges Produits'!$E$45</f>
        <v>27962.174999999999</v>
      </c>
      <c r="AW51" s="155">
        <f>AW62*'Marges Produits'!$E$45</f>
        <v>27962.174999999999</v>
      </c>
      <c r="AX51" s="156">
        <f>AX62*'Marges Produits'!$E$45</f>
        <v>37282.9</v>
      </c>
      <c r="AY51" s="36">
        <f>AY62*'Marges Produits'!$E$45</f>
        <v>41011.19</v>
      </c>
      <c r="AZ51" s="36">
        <f>AZ62*'Marges Produits'!$E$45</f>
        <v>59652.639999999999</v>
      </c>
      <c r="BA51" s="36">
        <f>BA62*'Marges Produits'!$E$45</f>
        <v>78294.09</v>
      </c>
      <c r="BB51" s="36">
        <f>BB62*'Marges Produits'!$E$45</f>
        <v>93207.25</v>
      </c>
      <c r="BC51" s="36">
        <f>BC62*'Marges Produits'!$E$45</f>
        <v>93207.25</v>
      </c>
      <c r="BD51" s="36">
        <f>BD62*'Marges Produits'!$E$45</f>
        <v>93207.25</v>
      </c>
      <c r="BE51" s="36">
        <f>BE62*'Marges Produits'!$E$45</f>
        <v>78294.09</v>
      </c>
      <c r="BF51" s="36">
        <f>BF62*'Marges Produits'!$E$45</f>
        <v>69905.4375</v>
      </c>
      <c r="BG51" s="36">
        <f>BG62*'Marges Produits'!$E$45</f>
        <v>41011.19</v>
      </c>
      <c r="BH51" s="36">
        <f>BH62*'Marges Produits'!$E$45</f>
        <v>27962.174999999999</v>
      </c>
      <c r="BI51" s="155">
        <f>BI62*'Marges Produits'!$E$45</f>
        <v>27962.174999999999</v>
      </c>
    </row>
    <row r="52" spans="1:61" ht="15" customHeight="1" x14ac:dyDescent="0.35">
      <c r="A52" t="s">
        <v>63</v>
      </c>
      <c r="B52" s="156">
        <f>'Emprunt Bancaire'!$B$27</f>
        <v>4367</v>
      </c>
      <c r="C52" s="36">
        <f>'Emprunt Bancaire'!$B$27</f>
        <v>4367</v>
      </c>
      <c r="D52" s="36">
        <f>'Emprunt Bancaire'!$B$27</f>
        <v>4367</v>
      </c>
      <c r="E52" s="36">
        <f>'Emprunt Bancaire'!$B$27</f>
        <v>4367</v>
      </c>
      <c r="F52" s="36">
        <f>'Emprunt Bancaire'!$B$27</f>
        <v>4367</v>
      </c>
      <c r="G52" s="36">
        <f>'Emprunt Bancaire'!$B$27</f>
        <v>4367</v>
      </c>
      <c r="H52" s="36">
        <f>'Emprunt Bancaire'!$B$27</f>
        <v>4367</v>
      </c>
      <c r="I52" s="36">
        <f>'Emprunt Bancaire'!$B$27</f>
        <v>4367</v>
      </c>
      <c r="J52" s="36">
        <f>'Emprunt Bancaire'!$B$27</f>
        <v>4367</v>
      </c>
      <c r="K52" s="36">
        <f>'Emprunt Bancaire'!$B$27</f>
        <v>4367</v>
      </c>
      <c r="L52" s="36">
        <f>'Emprunt Bancaire'!$B$27</f>
        <v>4367</v>
      </c>
      <c r="M52" s="155">
        <f>'Emprunt Bancaire'!$B$27</f>
        <v>4367</v>
      </c>
      <c r="N52" s="156">
        <f>'Emprunt Bancaire'!$B$27</f>
        <v>4367</v>
      </c>
      <c r="O52" s="36">
        <f>'Emprunt Bancaire'!$B$27</f>
        <v>4367</v>
      </c>
      <c r="P52" s="36">
        <f>'Emprunt Bancaire'!$B$27</f>
        <v>4367</v>
      </c>
      <c r="Q52" s="36">
        <f>'Emprunt Bancaire'!$B$27</f>
        <v>4367</v>
      </c>
      <c r="R52" s="36">
        <f>'Emprunt Bancaire'!$B$27</f>
        <v>4367</v>
      </c>
      <c r="S52" s="36">
        <f>'Emprunt Bancaire'!$B$27</f>
        <v>4367</v>
      </c>
      <c r="T52" s="36">
        <f>'Emprunt Bancaire'!$B$27</f>
        <v>4367</v>
      </c>
      <c r="U52" s="36">
        <f>'Emprunt Bancaire'!$B$27</f>
        <v>4367</v>
      </c>
      <c r="V52" s="36">
        <f>'Emprunt Bancaire'!$B$27</f>
        <v>4367</v>
      </c>
      <c r="W52" s="36">
        <f>'Emprunt Bancaire'!$B$27</f>
        <v>4367</v>
      </c>
      <c r="X52" s="36">
        <f>'Emprunt Bancaire'!$B$27</f>
        <v>4367</v>
      </c>
      <c r="Y52" s="155">
        <f>'Emprunt Bancaire'!$B$27</f>
        <v>4367</v>
      </c>
      <c r="Z52" s="156">
        <f>'Emprunt Bancaire'!$B$27</f>
        <v>4367</v>
      </c>
      <c r="AA52" s="36">
        <f>'Emprunt Bancaire'!$B$27</f>
        <v>4367</v>
      </c>
      <c r="AB52" s="36">
        <f>'Emprunt Bancaire'!$B$27</f>
        <v>4367</v>
      </c>
      <c r="AC52" s="36">
        <f>'Emprunt Bancaire'!$B$27</f>
        <v>4367</v>
      </c>
      <c r="AD52" s="36">
        <f>'Emprunt Bancaire'!$B$27</f>
        <v>4367</v>
      </c>
      <c r="AE52" s="36">
        <f>'Emprunt Bancaire'!$B$27</f>
        <v>4367</v>
      </c>
      <c r="AF52" s="36">
        <f>'Emprunt Bancaire'!$B$27</f>
        <v>4367</v>
      </c>
      <c r="AG52" s="36">
        <f>'Emprunt Bancaire'!$B$27</f>
        <v>4367</v>
      </c>
      <c r="AH52" s="36">
        <f>'Emprunt Bancaire'!$B$27</f>
        <v>4367</v>
      </c>
      <c r="AI52" s="36">
        <f>'Emprunt Bancaire'!$B$27</f>
        <v>4367</v>
      </c>
      <c r="AJ52" s="36">
        <f>'Emprunt Bancaire'!$B$27</f>
        <v>4367</v>
      </c>
      <c r="AK52" s="155">
        <f>'Emprunt Bancaire'!$B$27</f>
        <v>4367</v>
      </c>
      <c r="AL52" s="156">
        <f>'Emprunt Bancaire'!$B$27</f>
        <v>4367</v>
      </c>
      <c r="AM52" s="36">
        <f>'Emprunt Bancaire'!$B$27</f>
        <v>4367</v>
      </c>
      <c r="AN52" s="36">
        <f>'Emprunt Bancaire'!$B$27</f>
        <v>4367</v>
      </c>
      <c r="AO52" s="36">
        <f>'Emprunt Bancaire'!$B$27</f>
        <v>4367</v>
      </c>
      <c r="AP52" s="36">
        <f>'Emprunt Bancaire'!$B$27</f>
        <v>4367</v>
      </c>
      <c r="AQ52" s="36">
        <f>'Emprunt Bancaire'!$B$27</f>
        <v>4367</v>
      </c>
      <c r="AR52" s="36">
        <f>'Emprunt Bancaire'!$B$27</f>
        <v>4367</v>
      </c>
      <c r="AS52" s="36">
        <f>'Emprunt Bancaire'!$B$27</f>
        <v>4367</v>
      </c>
      <c r="AT52" s="36">
        <f>'Emprunt Bancaire'!$B$27</f>
        <v>4367</v>
      </c>
      <c r="AU52" s="36">
        <f>'Emprunt Bancaire'!$B$27</f>
        <v>4367</v>
      </c>
      <c r="AV52" s="36">
        <f>'Emprunt Bancaire'!$B$27</f>
        <v>4367</v>
      </c>
      <c r="AW52" s="155">
        <f>'Emprunt Bancaire'!$B$27</f>
        <v>4367</v>
      </c>
      <c r="AX52" s="156">
        <f>'Emprunt Bancaire'!$B$27</f>
        <v>4367</v>
      </c>
      <c r="AY52" s="36">
        <f>'Emprunt Bancaire'!$B$27</f>
        <v>4367</v>
      </c>
      <c r="AZ52" s="36">
        <f>'Emprunt Bancaire'!$B$27</f>
        <v>4367</v>
      </c>
      <c r="BA52" s="36">
        <f>'Emprunt Bancaire'!$B$27</f>
        <v>4367</v>
      </c>
      <c r="BB52" s="36">
        <f>'Emprunt Bancaire'!$B$27</f>
        <v>4367</v>
      </c>
      <c r="BC52" s="36">
        <f>'Emprunt Bancaire'!$B$27</f>
        <v>4367</v>
      </c>
      <c r="BD52" s="36">
        <f>'Emprunt Bancaire'!$B$27</f>
        <v>4367</v>
      </c>
      <c r="BE52" s="36">
        <f>'Emprunt Bancaire'!$B$27</f>
        <v>4367</v>
      </c>
      <c r="BF52" s="36">
        <f>'Emprunt Bancaire'!$B$27</f>
        <v>4367</v>
      </c>
      <c r="BG52" s="36">
        <f>'Emprunt Bancaire'!$B$27</f>
        <v>4367</v>
      </c>
      <c r="BH52" s="36">
        <f>'Emprunt Bancaire'!$B$27</f>
        <v>4367</v>
      </c>
      <c r="BI52" s="155">
        <f>'Emprunt Bancaire'!$B$27</f>
        <v>4367</v>
      </c>
    </row>
    <row r="53" spans="1:61" ht="15" customHeight="1" x14ac:dyDescent="0.35">
      <c r="A53" t="s">
        <v>64</v>
      </c>
      <c r="B53" s="156">
        <f t="shared" ref="B53:M53" si="10">B42*0.008</f>
        <v>79.573328000000004</v>
      </c>
      <c r="C53" s="36">
        <f t="shared" si="10"/>
        <v>159.14665600000001</v>
      </c>
      <c r="D53" s="36">
        <f t="shared" si="10"/>
        <v>238.71998400000004</v>
      </c>
      <c r="E53" s="36">
        <f t="shared" si="10"/>
        <v>397.86664000000002</v>
      </c>
      <c r="F53" s="36">
        <f t="shared" si="10"/>
        <v>557.01329600000008</v>
      </c>
      <c r="G53" s="36">
        <f t="shared" si="10"/>
        <v>557.01329600000008</v>
      </c>
      <c r="H53" s="36">
        <f t="shared" si="10"/>
        <v>557.01329600000008</v>
      </c>
      <c r="I53" s="36">
        <f t="shared" si="10"/>
        <v>477.43996800000008</v>
      </c>
      <c r="J53" s="36">
        <f t="shared" si="10"/>
        <v>397.86664000000002</v>
      </c>
      <c r="K53" s="36">
        <f t="shared" si="10"/>
        <v>238.71998400000004</v>
      </c>
      <c r="L53" s="36">
        <f t="shared" si="10"/>
        <v>159.14665600000001</v>
      </c>
      <c r="M53" s="155">
        <f t="shared" si="10"/>
        <v>159.14665600000001</v>
      </c>
      <c r="N53" s="156">
        <f t="shared" ref="N53:BI53" si="11">N42*0.008</f>
        <v>238.71998400000004</v>
      </c>
      <c r="O53" s="36">
        <f t="shared" si="11"/>
        <v>477.43996800000008</v>
      </c>
      <c r="P53" s="36">
        <f t="shared" si="11"/>
        <v>795.73328000000004</v>
      </c>
      <c r="Q53" s="36">
        <f t="shared" si="11"/>
        <v>954.87993600000016</v>
      </c>
      <c r="R53" s="36">
        <f t="shared" si="11"/>
        <v>1114.0265920000002</v>
      </c>
      <c r="S53" s="36">
        <f t="shared" si="11"/>
        <v>1114.0265920000002</v>
      </c>
      <c r="T53" s="36">
        <f t="shared" si="11"/>
        <v>1114.0265920000002</v>
      </c>
      <c r="U53" s="36">
        <f t="shared" si="11"/>
        <v>1034.4532640000002</v>
      </c>
      <c r="V53" s="36">
        <f t="shared" si="11"/>
        <v>795.73328000000004</v>
      </c>
      <c r="W53" s="36">
        <f t="shared" si="11"/>
        <v>477.43996800000008</v>
      </c>
      <c r="X53" s="36">
        <f t="shared" si="11"/>
        <v>318.29331200000001</v>
      </c>
      <c r="Y53" s="155">
        <f t="shared" si="11"/>
        <v>318.29331200000001</v>
      </c>
      <c r="Z53" s="156">
        <f t="shared" si="11"/>
        <v>636.58662400000003</v>
      </c>
      <c r="AA53" s="36">
        <f t="shared" si="11"/>
        <v>716.15995200000009</v>
      </c>
      <c r="AB53" s="36">
        <f t="shared" si="11"/>
        <v>1034.4532640000002</v>
      </c>
      <c r="AC53" s="36">
        <f t="shared" si="11"/>
        <v>1352.7465760000002</v>
      </c>
      <c r="AD53" s="36">
        <f t="shared" si="11"/>
        <v>1591.4665600000001</v>
      </c>
      <c r="AE53" s="36">
        <f t="shared" si="11"/>
        <v>1591.4665600000001</v>
      </c>
      <c r="AF53" s="36">
        <f t="shared" si="11"/>
        <v>1591.4665600000001</v>
      </c>
      <c r="AG53" s="36">
        <f t="shared" si="11"/>
        <v>1352.7465760000002</v>
      </c>
      <c r="AH53" s="36">
        <f t="shared" si="11"/>
        <v>1193.5999200000001</v>
      </c>
      <c r="AI53" s="36">
        <f t="shared" si="11"/>
        <v>716.15995200000009</v>
      </c>
      <c r="AJ53" s="36">
        <f t="shared" si="11"/>
        <v>477.43996800000008</v>
      </c>
      <c r="AK53" s="155">
        <f t="shared" si="11"/>
        <v>477.43996800000008</v>
      </c>
      <c r="AL53" s="156">
        <f t="shared" si="11"/>
        <v>795.73328000000004</v>
      </c>
      <c r="AM53" s="36">
        <f t="shared" si="11"/>
        <v>875.3066080000001</v>
      </c>
      <c r="AN53" s="36">
        <f t="shared" si="11"/>
        <v>1273.1732480000001</v>
      </c>
      <c r="AO53" s="36">
        <f t="shared" si="11"/>
        <v>1671.0398880000002</v>
      </c>
      <c r="AP53" s="36">
        <f t="shared" si="11"/>
        <v>1989.3332000000003</v>
      </c>
      <c r="AQ53" s="36">
        <f t="shared" si="11"/>
        <v>1989.3332000000003</v>
      </c>
      <c r="AR53" s="36">
        <f t="shared" si="11"/>
        <v>1989.3332000000003</v>
      </c>
      <c r="AS53" s="36">
        <f t="shared" si="11"/>
        <v>1671.0398880000002</v>
      </c>
      <c r="AT53" s="36">
        <f t="shared" si="11"/>
        <v>1491.9999000000003</v>
      </c>
      <c r="AU53" s="36">
        <f t="shared" si="11"/>
        <v>875.3066080000001</v>
      </c>
      <c r="AV53" s="36">
        <f t="shared" si="11"/>
        <v>596.79996000000006</v>
      </c>
      <c r="AW53" s="155">
        <f t="shared" si="11"/>
        <v>596.79996000000006</v>
      </c>
      <c r="AX53" s="156">
        <f t="shared" si="11"/>
        <v>835.51994400000012</v>
      </c>
      <c r="AY53" s="36">
        <f t="shared" si="11"/>
        <v>919.07193840000014</v>
      </c>
      <c r="AZ53" s="36">
        <f t="shared" si="11"/>
        <v>1336.8319104000002</v>
      </c>
      <c r="BA53" s="36">
        <f t="shared" si="11"/>
        <v>1754.5918824000003</v>
      </c>
      <c r="BB53" s="36">
        <f t="shared" si="11"/>
        <v>2088.7998600000005</v>
      </c>
      <c r="BC53" s="36">
        <f t="shared" si="11"/>
        <v>2088.7998600000005</v>
      </c>
      <c r="BD53" s="36">
        <f t="shared" si="11"/>
        <v>2088.7998600000005</v>
      </c>
      <c r="BE53" s="36">
        <f t="shared" si="11"/>
        <v>1754.5918824000003</v>
      </c>
      <c r="BF53" s="36">
        <f t="shared" si="11"/>
        <v>1566.5998950000003</v>
      </c>
      <c r="BG53" s="36">
        <f t="shared" si="11"/>
        <v>919.07193840000014</v>
      </c>
      <c r="BH53" s="36">
        <f t="shared" si="11"/>
        <v>626.63995800000009</v>
      </c>
      <c r="BI53" s="155">
        <f t="shared" si="11"/>
        <v>626.63995800000009</v>
      </c>
    </row>
    <row r="54" spans="1:61" x14ac:dyDescent="0.35">
      <c r="A54" t="s">
        <v>415</v>
      </c>
      <c r="B54" s="157">
        <f>(SUM(B46:B53)*0.15)</f>
        <v>6127.8680991999991</v>
      </c>
      <c r="C54" s="143">
        <f t="shared" ref="C54:BI54" si="12">(SUM(C46:C53)*0.15)</f>
        <v>6699.0475983999995</v>
      </c>
      <c r="D54" s="143">
        <f t="shared" si="12"/>
        <v>8217.5757975999986</v>
      </c>
      <c r="E54" s="143">
        <f t="shared" si="12"/>
        <v>8800.6912960000009</v>
      </c>
      <c r="F54" s="143">
        <f t="shared" si="12"/>
        <v>6898.5384693999995</v>
      </c>
      <c r="G54" s="143">
        <f t="shared" si="12"/>
        <v>6758.7275943999994</v>
      </c>
      <c r="H54" s="143">
        <f t="shared" si="12"/>
        <v>6758.7275943999994</v>
      </c>
      <c r="I54" s="143">
        <f t="shared" si="12"/>
        <v>7008.6402951999999</v>
      </c>
      <c r="J54" s="143">
        <f t="shared" si="12"/>
        <v>5616.3685960000003</v>
      </c>
      <c r="K54" s="143">
        <f t="shared" si="12"/>
        <v>4474.0095976000002</v>
      </c>
      <c r="L54" s="143">
        <f t="shared" si="12"/>
        <v>3902.8300984000002</v>
      </c>
      <c r="M54" s="158">
        <f t="shared" si="12"/>
        <v>3902.8300984000002</v>
      </c>
      <c r="N54" s="157">
        <f t="shared" si="12"/>
        <v>9507.2010976000001</v>
      </c>
      <c r="O54" s="143">
        <f t="shared" si="12"/>
        <v>9543.0090951999991</v>
      </c>
      <c r="P54" s="143">
        <f t="shared" si="12"/>
        <v>12215.832291999999</v>
      </c>
      <c r="Q54" s="143">
        <f t="shared" si="12"/>
        <v>12239.704290399999</v>
      </c>
      <c r="R54" s="143">
        <f t="shared" si="12"/>
        <v>10756.9840888</v>
      </c>
      <c r="S54" s="143">
        <f t="shared" si="12"/>
        <v>10756.9840888</v>
      </c>
      <c r="T54" s="143">
        <f t="shared" si="12"/>
        <v>10756.9840888</v>
      </c>
      <c r="U54" s="143">
        <f t="shared" si="12"/>
        <v>10447.653289599997</v>
      </c>
      <c r="V54" s="143">
        <f t="shared" si="12"/>
        <v>8472.2660919999998</v>
      </c>
      <c r="W54" s="143">
        <f t="shared" si="12"/>
        <v>6187.5480951999989</v>
      </c>
      <c r="X54" s="143">
        <f t="shared" si="12"/>
        <v>5045.1890968000007</v>
      </c>
      <c r="Y54" s="158">
        <f t="shared" si="12"/>
        <v>5045.1890968000007</v>
      </c>
      <c r="Z54" s="157">
        <f t="shared" si="12"/>
        <v>12922.342093600002</v>
      </c>
      <c r="AA54" s="143">
        <f t="shared" si="12"/>
        <v>12934.278092800001</v>
      </c>
      <c r="AB54" s="143">
        <f t="shared" si="12"/>
        <v>16166.344789599998</v>
      </c>
      <c r="AC54" s="143">
        <f t="shared" si="12"/>
        <v>16214.0887864</v>
      </c>
      <c r="AD54" s="143">
        <f t="shared" si="12"/>
        <v>14743.304584</v>
      </c>
      <c r="AE54" s="143">
        <f t="shared" si="12"/>
        <v>14743.304584</v>
      </c>
      <c r="AF54" s="143">
        <f t="shared" si="12"/>
        <v>14743.304584</v>
      </c>
      <c r="AG54" s="143">
        <f t="shared" si="12"/>
        <v>13850.8582864</v>
      </c>
      <c r="AH54" s="143">
        <f t="shared" si="12"/>
        <v>11328.163587999998</v>
      </c>
      <c r="AI54" s="143">
        <f t="shared" si="12"/>
        <v>7901.0865928000003</v>
      </c>
      <c r="AJ54" s="143">
        <f t="shared" si="12"/>
        <v>6187.5480951999989</v>
      </c>
      <c r="AK54" s="158">
        <f t="shared" si="12"/>
        <v>6187.5480951999989</v>
      </c>
      <c r="AL54" s="157">
        <f t="shared" si="12"/>
        <v>9590.753091999999</v>
      </c>
      <c r="AM54" s="143">
        <f t="shared" si="12"/>
        <v>14076.6370912</v>
      </c>
      <c r="AN54" s="143">
        <f t="shared" si="12"/>
        <v>17320.639787199998</v>
      </c>
      <c r="AO54" s="143">
        <f t="shared" si="12"/>
        <v>17520.130658199996</v>
      </c>
      <c r="AP54" s="143">
        <f t="shared" si="12"/>
        <v>17039.958579999999</v>
      </c>
      <c r="AQ54" s="143">
        <f t="shared" si="12"/>
        <v>17039.958579999999</v>
      </c>
      <c r="AR54" s="143">
        <f t="shared" si="12"/>
        <v>17039.958579999999</v>
      </c>
      <c r="AS54" s="143">
        <f t="shared" si="12"/>
        <v>15576.332783199998</v>
      </c>
      <c r="AT54" s="143">
        <f t="shared" si="12"/>
        <v>13470.08671</v>
      </c>
      <c r="AU54" s="143">
        <f t="shared" si="12"/>
        <v>9043.4455911999994</v>
      </c>
      <c r="AV54" s="143">
        <f t="shared" si="12"/>
        <v>7044.317344</v>
      </c>
      <c r="AW54" s="158">
        <f t="shared" si="12"/>
        <v>7044.317344</v>
      </c>
      <c r="AX54" s="157">
        <f t="shared" si="12"/>
        <v>8478.2340915999994</v>
      </c>
      <c r="AY54" s="143">
        <f t="shared" si="12"/>
        <v>9050.0103907599987</v>
      </c>
      <c r="AZ54" s="143">
        <f t="shared" si="12"/>
        <v>13415.484086559998</v>
      </c>
      <c r="BA54" s="143">
        <f t="shared" si="12"/>
        <v>16274.365582359998</v>
      </c>
      <c r="BB54" s="143">
        <f t="shared" si="12"/>
        <v>17054.878579</v>
      </c>
      <c r="BC54" s="143">
        <f t="shared" si="12"/>
        <v>17054.878579</v>
      </c>
      <c r="BD54" s="143">
        <f t="shared" si="12"/>
        <v>17054.878579</v>
      </c>
      <c r="BE54" s="143">
        <f t="shared" si="12"/>
        <v>15588.865582359998</v>
      </c>
      <c r="BF54" s="143">
        <f t="shared" si="12"/>
        <v>13481.276709250002</v>
      </c>
      <c r="BG54" s="143">
        <f t="shared" si="12"/>
        <v>9050.0103907599987</v>
      </c>
      <c r="BH54" s="143">
        <f t="shared" si="12"/>
        <v>7048.7933437000002</v>
      </c>
      <c r="BI54" s="158">
        <f t="shared" si="12"/>
        <v>7048.7933437000002</v>
      </c>
    </row>
    <row r="55" spans="1:61" x14ac:dyDescent="0.35">
      <c r="A55" t="s">
        <v>424</v>
      </c>
      <c r="B55" s="157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58"/>
      <c r="N55" s="157">
        <f>($M$59-$N$30)/12</f>
        <v>-2411.5213362499976</v>
      </c>
      <c r="O55" s="157">
        <f t="shared" ref="O55:Y55" si="13">($M$59-$N$30)/12</f>
        <v>-2411.5213362499976</v>
      </c>
      <c r="P55" s="157">
        <f t="shared" si="13"/>
        <v>-2411.5213362499976</v>
      </c>
      <c r="Q55" s="157">
        <f t="shared" si="13"/>
        <v>-2411.5213362499976</v>
      </c>
      <c r="R55" s="157">
        <f t="shared" si="13"/>
        <v>-2411.5213362499976</v>
      </c>
      <c r="S55" s="157">
        <f t="shared" si="13"/>
        <v>-2411.5213362499976</v>
      </c>
      <c r="T55" s="157">
        <f t="shared" si="13"/>
        <v>-2411.5213362499976</v>
      </c>
      <c r="U55" s="157">
        <f t="shared" si="13"/>
        <v>-2411.5213362499976</v>
      </c>
      <c r="V55" s="157">
        <f t="shared" si="13"/>
        <v>-2411.5213362499976</v>
      </c>
      <c r="W55" s="157">
        <f t="shared" si="13"/>
        <v>-2411.5213362499976</v>
      </c>
      <c r="X55" s="157">
        <f t="shared" si="13"/>
        <v>-2411.5213362499976</v>
      </c>
      <c r="Y55" s="157">
        <f t="shared" si="13"/>
        <v>-2411.5213362499976</v>
      </c>
      <c r="Z55" s="157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58"/>
      <c r="AL55" s="157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58"/>
      <c r="AX55" s="157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58"/>
    </row>
    <row r="56" spans="1:61" ht="15" customHeight="1" x14ac:dyDescent="0.35">
      <c r="A56" s="30" t="s">
        <v>65</v>
      </c>
      <c r="B56" s="156">
        <f>SUM(B46:B54)</f>
        <v>46980.322093866664</v>
      </c>
      <c r="C56" s="36">
        <f t="shared" ref="C56:BI56" si="14">SUM(C46:C54)</f>
        <v>51359.364921066663</v>
      </c>
      <c r="D56" s="36">
        <f t="shared" si="14"/>
        <v>63001.41444826666</v>
      </c>
      <c r="E56" s="36">
        <f t="shared" si="14"/>
        <v>67471.966602666667</v>
      </c>
      <c r="F56" s="36">
        <f t="shared" si="14"/>
        <v>52888.794932066667</v>
      </c>
      <c r="G56" s="36">
        <f t="shared" si="14"/>
        <v>51816.911557066662</v>
      </c>
      <c r="H56" s="36">
        <f t="shared" si="14"/>
        <v>51816.911557066662</v>
      </c>
      <c r="I56" s="36">
        <f t="shared" si="14"/>
        <v>53732.908929866666</v>
      </c>
      <c r="J56" s="36">
        <f t="shared" si="14"/>
        <v>43058.825902666671</v>
      </c>
      <c r="K56" s="36">
        <f t="shared" si="14"/>
        <v>34300.740248266666</v>
      </c>
      <c r="L56" s="36">
        <f t="shared" si="14"/>
        <v>29921.69742106667</v>
      </c>
      <c r="M56" s="155">
        <f t="shared" si="14"/>
        <v>29921.69742106667</v>
      </c>
      <c r="N56" s="156">
        <f t="shared" si="14"/>
        <v>72888.541748266667</v>
      </c>
      <c r="O56" s="36">
        <f t="shared" si="14"/>
        <v>73163.069729866664</v>
      </c>
      <c r="P56" s="36">
        <f t="shared" si="14"/>
        <v>93654.714238666667</v>
      </c>
      <c r="Q56" s="36">
        <f t="shared" si="14"/>
        <v>93837.732893066655</v>
      </c>
      <c r="R56" s="36">
        <f t="shared" si="14"/>
        <v>82470.211347466669</v>
      </c>
      <c r="S56" s="36">
        <f t="shared" si="14"/>
        <v>82470.211347466669</v>
      </c>
      <c r="T56" s="36">
        <f t="shared" si="14"/>
        <v>82470.211347466669</v>
      </c>
      <c r="U56" s="36">
        <f t="shared" si="14"/>
        <v>80098.675220266654</v>
      </c>
      <c r="V56" s="36">
        <f t="shared" si="14"/>
        <v>64954.040038666666</v>
      </c>
      <c r="W56" s="36">
        <f t="shared" si="14"/>
        <v>47437.868729866663</v>
      </c>
      <c r="X56" s="36">
        <f t="shared" si="14"/>
        <v>38679.783075466672</v>
      </c>
      <c r="Y56" s="155">
        <f t="shared" si="14"/>
        <v>38679.783075466672</v>
      </c>
      <c r="Z56" s="156">
        <f t="shared" si="14"/>
        <v>99071.289384266682</v>
      </c>
      <c r="AA56" s="36">
        <f t="shared" si="14"/>
        <v>99162.798711466676</v>
      </c>
      <c r="AB56" s="36">
        <f t="shared" si="14"/>
        <v>123941.97672026666</v>
      </c>
      <c r="AC56" s="36">
        <f t="shared" si="14"/>
        <v>124308.01402906666</v>
      </c>
      <c r="AD56" s="36">
        <f t="shared" si="14"/>
        <v>113032.00181066667</v>
      </c>
      <c r="AE56" s="36">
        <f t="shared" si="14"/>
        <v>113032.00181066667</v>
      </c>
      <c r="AF56" s="36">
        <f t="shared" si="14"/>
        <v>113032.00181066667</v>
      </c>
      <c r="AG56" s="36">
        <f t="shared" si="14"/>
        <v>106189.91352906667</v>
      </c>
      <c r="AH56" s="36">
        <f t="shared" si="14"/>
        <v>86849.254174666654</v>
      </c>
      <c r="AI56" s="36">
        <f t="shared" si="14"/>
        <v>60574.997211466667</v>
      </c>
      <c r="AJ56" s="36">
        <f t="shared" si="14"/>
        <v>47437.868729866663</v>
      </c>
      <c r="AK56" s="155">
        <f t="shared" si="14"/>
        <v>47437.868729866663</v>
      </c>
      <c r="AL56" s="156">
        <f t="shared" si="14"/>
        <v>73529.107038666669</v>
      </c>
      <c r="AM56" s="36">
        <f t="shared" si="14"/>
        <v>107920.88436586667</v>
      </c>
      <c r="AN56" s="36">
        <f t="shared" si="14"/>
        <v>132791.57170186666</v>
      </c>
      <c r="AO56" s="36">
        <f t="shared" si="14"/>
        <v>134321.00171286665</v>
      </c>
      <c r="AP56" s="36">
        <f t="shared" si="14"/>
        <v>130639.68244666667</v>
      </c>
      <c r="AQ56" s="36">
        <f t="shared" si="14"/>
        <v>130639.68244666667</v>
      </c>
      <c r="AR56" s="36">
        <f t="shared" si="14"/>
        <v>130639.68244666667</v>
      </c>
      <c r="AS56" s="36">
        <f t="shared" si="14"/>
        <v>119418.55133786665</v>
      </c>
      <c r="AT56" s="36">
        <f t="shared" si="14"/>
        <v>103270.66477666667</v>
      </c>
      <c r="AU56" s="36">
        <f t="shared" si="14"/>
        <v>69333.082865866672</v>
      </c>
      <c r="AV56" s="36">
        <f t="shared" si="14"/>
        <v>54006.432970666669</v>
      </c>
      <c r="AW56" s="155">
        <f t="shared" si="14"/>
        <v>54006.432970666669</v>
      </c>
      <c r="AX56" s="156">
        <f t="shared" si="14"/>
        <v>64999.794702266663</v>
      </c>
      <c r="AY56" s="36">
        <f t="shared" si="14"/>
        <v>69383.412995826657</v>
      </c>
      <c r="AZ56" s="36">
        <f t="shared" si="14"/>
        <v>102852.04466362666</v>
      </c>
      <c r="BA56" s="36">
        <f t="shared" si="14"/>
        <v>124770.13613142665</v>
      </c>
      <c r="BB56" s="36">
        <f t="shared" si="14"/>
        <v>130754.06910566667</v>
      </c>
      <c r="BC56" s="36">
        <f t="shared" si="14"/>
        <v>130754.06910566667</v>
      </c>
      <c r="BD56" s="36">
        <f t="shared" si="14"/>
        <v>130754.06910566667</v>
      </c>
      <c r="BE56" s="36">
        <f t="shared" si="14"/>
        <v>119514.63613142665</v>
      </c>
      <c r="BF56" s="36">
        <f t="shared" si="14"/>
        <v>103356.45477091668</v>
      </c>
      <c r="BG56" s="36">
        <f t="shared" si="14"/>
        <v>69383.412995826657</v>
      </c>
      <c r="BH56" s="36">
        <f t="shared" si="14"/>
        <v>54040.748968366672</v>
      </c>
      <c r="BI56" s="155">
        <f t="shared" si="14"/>
        <v>54040.748968366672</v>
      </c>
    </row>
    <row r="57" spans="1:61" x14ac:dyDescent="0.35">
      <c r="B57" s="153"/>
      <c r="M57" s="154"/>
      <c r="N57" s="153"/>
      <c r="Y57" s="154"/>
      <c r="Z57" s="153"/>
      <c r="AK57" s="154"/>
      <c r="AL57" s="153"/>
      <c r="AW57" s="154"/>
      <c r="AX57" s="153"/>
      <c r="BI57" s="154"/>
    </row>
    <row r="58" spans="1:61" ht="15" customHeight="1" x14ac:dyDescent="0.35">
      <c r="A58" s="30" t="s">
        <v>66</v>
      </c>
      <c r="B58" s="156">
        <f t="shared" ref="B58:M58" si="15">B43-B56</f>
        <v>-37033.656093866666</v>
      </c>
      <c r="C58" s="36">
        <f t="shared" si="15"/>
        <v>-31466.03292106666</v>
      </c>
      <c r="D58" s="36">
        <f t="shared" si="15"/>
        <v>16838.583551733347</v>
      </c>
      <c r="E58" s="36">
        <f t="shared" si="15"/>
        <v>-17738.636602666666</v>
      </c>
      <c r="F58" s="36">
        <f t="shared" si="15"/>
        <v>16737.867067933345</v>
      </c>
      <c r="G58" s="36">
        <f t="shared" si="15"/>
        <v>17809.750442933349</v>
      </c>
      <c r="H58" s="36">
        <f t="shared" si="15"/>
        <v>17809.750442933349</v>
      </c>
      <c r="I58" s="36">
        <f t="shared" si="15"/>
        <v>5947.0870701333406</v>
      </c>
      <c r="J58" s="36">
        <f t="shared" si="15"/>
        <v>6674.5040973333307</v>
      </c>
      <c r="K58" s="36">
        <f t="shared" si="15"/>
        <v>-4460.7422482666625</v>
      </c>
      <c r="L58" s="36">
        <f t="shared" si="15"/>
        <v>-10028.365421066668</v>
      </c>
      <c r="M58" s="155">
        <f t="shared" si="15"/>
        <v>-10028.365421066668</v>
      </c>
      <c r="N58" s="156">
        <f t="shared" ref="N58:BI58" si="16">N43-N56</f>
        <v>-43048.54374826666</v>
      </c>
      <c r="O58" s="36">
        <f t="shared" si="16"/>
        <v>-13483.073729866657</v>
      </c>
      <c r="P58" s="36">
        <f t="shared" si="16"/>
        <v>5811.9457613333361</v>
      </c>
      <c r="Q58" s="36">
        <f t="shared" si="16"/>
        <v>25522.259106933358</v>
      </c>
      <c r="R58" s="36">
        <f t="shared" si="16"/>
        <v>56783.112652533353</v>
      </c>
      <c r="S58" s="36">
        <f t="shared" si="16"/>
        <v>56783.112652533353</v>
      </c>
      <c r="T58" s="36">
        <f t="shared" si="16"/>
        <v>56783.112652533353</v>
      </c>
      <c r="U58" s="36">
        <f t="shared" si="16"/>
        <v>49207.982779733356</v>
      </c>
      <c r="V58" s="36">
        <f t="shared" si="16"/>
        <v>34512.619961333337</v>
      </c>
      <c r="W58" s="36">
        <f t="shared" si="16"/>
        <v>12242.127270133344</v>
      </c>
      <c r="X58" s="36">
        <f t="shared" si="16"/>
        <v>1106.8809245333323</v>
      </c>
      <c r="Y58" s="155">
        <f t="shared" si="16"/>
        <v>1106.8809245333323</v>
      </c>
      <c r="Z58" s="156">
        <f t="shared" si="16"/>
        <v>-19497.961384266673</v>
      </c>
      <c r="AA58" s="36">
        <f t="shared" si="16"/>
        <v>-9642.8047114666697</v>
      </c>
      <c r="AB58" s="36">
        <f t="shared" si="16"/>
        <v>5364.681279733355</v>
      </c>
      <c r="AC58" s="36">
        <f t="shared" si="16"/>
        <v>44785.307970933354</v>
      </c>
      <c r="AD58" s="36">
        <f t="shared" si="16"/>
        <v>85901.318189333339</v>
      </c>
      <c r="AE58" s="36">
        <f t="shared" si="16"/>
        <v>85901.318189333339</v>
      </c>
      <c r="AF58" s="36">
        <f t="shared" si="16"/>
        <v>85901.318189333339</v>
      </c>
      <c r="AG58" s="36">
        <f t="shared" si="16"/>
        <v>62903.40847093334</v>
      </c>
      <c r="AH58" s="36">
        <f t="shared" si="16"/>
        <v>62350.735825333366</v>
      </c>
      <c r="AI58" s="36">
        <f t="shared" si="16"/>
        <v>28944.996788533339</v>
      </c>
      <c r="AJ58" s="36">
        <f t="shared" si="16"/>
        <v>12242.127270133344</v>
      </c>
      <c r="AK58" s="155">
        <f t="shared" si="16"/>
        <v>12242.127270133344</v>
      </c>
      <c r="AL58" s="156">
        <f t="shared" si="16"/>
        <v>25937.552961333335</v>
      </c>
      <c r="AM58" s="36">
        <f t="shared" si="16"/>
        <v>1492.4416341333417</v>
      </c>
      <c r="AN58" s="36">
        <f t="shared" si="16"/>
        <v>26355.084298133355</v>
      </c>
      <c r="AO58" s="36">
        <f t="shared" si="16"/>
        <v>74558.984287133382</v>
      </c>
      <c r="AP58" s="36">
        <f t="shared" si="16"/>
        <v>118026.96755333335</v>
      </c>
      <c r="AQ58" s="36">
        <f t="shared" si="16"/>
        <v>118026.96755333335</v>
      </c>
      <c r="AR58" s="36">
        <f t="shared" si="16"/>
        <v>118026.96755333335</v>
      </c>
      <c r="AS58" s="36">
        <f t="shared" si="16"/>
        <v>89461.434662133383</v>
      </c>
      <c r="AT58" s="36">
        <f t="shared" si="16"/>
        <v>83229.322723333345</v>
      </c>
      <c r="AU58" s="36">
        <f t="shared" si="16"/>
        <v>40080.243134133343</v>
      </c>
      <c r="AV58" s="36">
        <f t="shared" si="16"/>
        <v>20593.562029333341</v>
      </c>
      <c r="AW58" s="155">
        <f t="shared" si="16"/>
        <v>20593.562029333341</v>
      </c>
      <c r="AX58" s="156">
        <f t="shared" si="16"/>
        <v>39440.198297733354</v>
      </c>
      <c r="AY58" s="36">
        <f t="shared" si="16"/>
        <v>45500.579304173356</v>
      </c>
      <c r="AZ58" s="36">
        <f t="shared" si="16"/>
        <v>64251.944136373364</v>
      </c>
      <c r="BA58" s="36">
        <f t="shared" si="16"/>
        <v>94553.849168573375</v>
      </c>
      <c r="BB58" s="36">
        <f t="shared" si="16"/>
        <v>130345.91339433337</v>
      </c>
      <c r="BC58" s="36">
        <f t="shared" si="16"/>
        <v>130345.91339433337</v>
      </c>
      <c r="BD58" s="36">
        <f t="shared" si="16"/>
        <v>130345.91339433337</v>
      </c>
      <c r="BE58" s="36">
        <f t="shared" si="16"/>
        <v>99809.349168573375</v>
      </c>
      <c r="BF58" s="36">
        <f t="shared" si="16"/>
        <v>92468.532104083351</v>
      </c>
      <c r="BG58" s="36">
        <f t="shared" si="16"/>
        <v>45500.579304173356</v>
      </c>
      <c r="BH58" s="36">
        <f t="shared" si="16"/>
        <v>24289.245781633341</v>
      </c>
      <c r="BI58" s="155">
        <f t="shared" si="16"/>
        <v>24289.245781633341</v>
      </c>
    </row>
    <row r="59" spans="1:61" ht="15" customHeight="1" x14ac:dyDescent="0.35">
      <c r="A59" s="37" t="s">
        <v>67</v>
      </c>
      <c r="B59" s="159">
        <f>N30+B58</f>
        <v>116943.69556173332</v>
      </c>
      <c r="C59" s="38">
        <f>B59+C58</f>
        <v>85477.662640666647</v>
      </c>
      <c r="D59" s="38">
        <f t="shared" ref="D59:BI59" si="17">C59+D58</f>
        <v>102316.24619239999</v>
      </c>
      <c r="E59" s="38">
        <f t="shared" si="17"/>
        <v>84577.609589733329</v>
      </c>
      <c r="F59" s="38">
        <f t="shared" si="17"/>
        <v>101315.47665766667</v>
      </c>
      <c r="G59" s="38">
        <f t="shared" si="17"/>
        <v>119125.22710060002</v>
      </c>
      <c r="H59" s="38">
        <f t="shared" si="17"/>
        <v>136934.97754353337</v>
      </c>
      <c r="I59" s="38">
        <f t="shared" si="17"/>
        <v>142882.06461366671</v>
      </c>
      <c r="J59" s="38">
        <f t="shared" si="17"/>
        <v>149556.56871100003</v>
      </c>
      <c r="K59" s="38">
        <f t="shared" si="17"/>
        <v>145095.82646273336</v>
      </c>
      <c r="L59" s="38">
        <f t="shared" si="17"/>
        <v>135067.46104166668</v>
      </c>
      <c r="M59" s="160">
        <f t="shared" si="17"/>
        <v>125039.09562060001</v>
      </c>
      <c r="N59" s="160">
        <f t="shared" si="17"/>
        <v>81990.551872333352</v>
      </c>
      <c r="O59" s="160">
        <f t="shared" si="17"/>
        <v>68507.478142466687</v>
      </c>
      <c r="P59" s="160">
        <f t="shared" si="17"/>
        <v>74319.423903800023</v>
      </c>
      <c r="Q59" s="160">
        <f t="shared" si="17"/>
        <v>99841.683010733381</v>
      </c>
      <c r="R59" s="160">
        <f t="shared" si="17"/>
        <v>156624.79566326673</v>
      </c>
      <c r="S59" s="160">
        <f t="shared" si="17"/>
        <v>213407.90831580007</v>
      </c>
      <c r="T59" s="160">
        <f t="shared" si="17"/>
        <v>270191.02096833341</v>
      </c>
      <c r="U59" s="160">
        <f t="shared" si="17"/>
        <v>319399.00374806678</v>
      </c>
      <c r="V59" s="160">
        <f t="shared" si="17"/>
        <v>353911.62370940013</v>
      </c>
      <c r="W59" s="160">
        <f t="shared" si="17"/>
        <v>366153.75097953348</v>
      </c>
      <c r="X59" s="160">
        <f t="shared" si="17"/>
        <v>367260.63190406683</v>
      </c>
      <c r="Y59" s="160">
        <f t="shared" si="17"/>
        <v>368367.51282860019</v>
      </c>
      <c r="Z59" s="160">
        <f t="shared" si="17"/>
        <v>348869.55144433351</v>
      </c>
      <c r="AA59" s="160">
        <f t="shared" si="17"/>
        <v>339226.74673286686</v>
      </c>
      <c r="AB59" s="160">
        <f t="shared" si="17"/>
        <v>344591.42801260023</v>
      </c>
      <c r="AC59" s="160">
        <f t="shared" si="17"/>
        <v>389376.73598353355</v>
      </c>
      <c r="AD59" s="160">
        <f t="shared" si="17"/>
        <v>475278.05417286686</v>
      </c>
      <c r="AE59" s="160">
        <f t="shared" si="17"/>
        <v>561179.37236220017</v>
      </c>
      <c r="AF59" s="160">
        <f t="shared" si="17"/>
        <v>647080.69055153348</v>
      </c>
      <c r="AG59" s="160">
        <f t="shared" si="17"/>
        <v>709984.09902246681</v>
      </c>
      <c r="AH59" s="160">
        <f t="shared" si="17"/>
        <v>772334.8348478002</v>
      </c>
      <c r="AI59" s="160">
        <f t="shared" si="17"/>
        <v>801279.83163633349</v>
      </c>
      <c r="AJ59" s="160">
        <f t="shared" si="17"/>
        <v>813521.95890646684</v>
      </c>
      <c r="AK59" s="160">
        <f t="shared" si="17"/>
        <v>825764.08617660019</v>
      </c>
      <c r="AL59" s="160">
        <f t="shared" si="17"/>
        <v>851701.6391379335</v>
      </c>
      <c r="AM59" s="160">
        <f t="shared" si="17"/>
        <v>853194.08077206684</v>
      </c>
      <c r="AN59" s="160">
        <f t="shared" si="17"/>
        <v>879549.16507020022</v>
      </c>
      <c r="AO59" s="160">
        <f t="shared" si="17"/>
        <v>954108.14935733355</v>
      </c>
      <c r="AP59" s="160">
        <f t="shared" si="17"/>
        <v>1072135.1169106669</v>
      </c>
      <c r="AQ59" s="160">
        <f t="shared" si="17"/>
        <v>1190162.0844640003</v>
      </c>
      <c r="AR59" s="160">
        <f t="shared" si="17"/>
        <v>1308189.0520173337</v>
      </c>
      <c r="AS59" s="160">
        <f t="shared" si="17"/>
        <v>1397650.4866794671</v>
      </c>
      <c r="AT59" s="160">
        <f t="shared" si="17"/>
        <v>1480879.8094028004</v>
      </c>
      <c r="AU59" s="160">
        <f t="shared" si="17"/>
        <v>1520960.0525369337</v>
      </c>
      <c r="AV59" s="160">
        <f t="shared" si="17"/>
        <v>1541553.614566267</v>
      </c>
      <c r="AW59" s="160">
        <f t="shared" si="17"/>
        <v>1562147.1765956003</v>
      </c>
      <c r="AX59" s="160">
        <f t="shared" si="17"/>
        <v>1601587.3748933338</v>
      </c>
      <c r="AY59" s="160">
        <f t="shared" si="17"/>
        <v>1647087.9541975071</v>
      </c>
      <c r="AZ59" s="160">
        <f t="shared" si="17"/>
        <v>1711339.8983338806</v>
      </c>
      <c r="BA59" s="160">
        <f t="shared" si="17"/>
        <v>1805893.7475024539</v>
      </c>
      <c r="BB59" s="160">
        <f t="shared" si="17"/>
        <v>1936239.6608967872</v>
      </c>
      <c r="BC59" s="160">
        <f t="shared" si="17"/>
        <v>2066585.5742911205</v>
      </c>
      <c r="BD59" s="160">
        <f t="shared" si="17"/>
        <v>2196931.4876854541</v>
      </c>
      <c r="BE59" s="160">
        <f t="shared" si="17"/>
        <v>2296740.8368540276</v>
      </c>
      <c r="BF59" s="160">
        <f t="shared" si="17"/>
        <v>2389209.3689581109</v>
      </c>
      <c r="BG59" s="160">
        <f t="shared" si="17"/>
        <v>2434709.9482622845</v>
      </c>
      <c r="BH59" s="160">
        <f t="shared" si="17"/>
        <v>2458999.194043918</v>
      </c>
      <c r="BI59" s="160">
        <f t="shared" si="17"/>
        <v>2483288.4398255516</v>
      </c>
    </row>
    <row r="60" spans="1:61" x14ac:dyDescent="0.35">
      <c r="B60" s="153"/>
      <c r="M60" s="154"/>
      <c r="N60" s="153"/>
      <c r="Y60" s="154"/>
      <c r="Z60" s="153"/>
      <c r="AK60" s="154"/>
      <c r="AL60" s="153"/>
      <c r="AW60" s="154"/>
      <c r="AX60" s="153"/>
      <c r="BI60" s="154"/>
    </row>
    <row r="61" spans="1:61" ht="15" customHeight="1" x14ac:dyDescent="0.35">
      <c r="A61" s="39" t="s">
        <v>68</v>
      </c>
      <c r="B61" s="153"/>
      <c r="M61" s="154"/>
      <c r="N61" s="153"/>
      <c r="Y61" s="154"/>
      <c r="Z61" s="153"/>
      <c r="AK61" s="154"/>
      <c r="AL61" s="153"/>
      <c r="AW61" s="154"/>
      <c r="AX61" s="153"/>
      <c r="BI61" s="154"/>
    </row>
    <row r="62" spans="1:61" ht="15" customHeight="1" x14ac:dyDescent="0.35">
      <c r="A62" t="s">
        <v>69</v>
      </c>
      <c r="B62" s="153">
        <v>24</v>
      </c>
      <c r="C62">
        <v>28</v>
      </c>
      <c r="D62">
        <v>28</v>
      </c>
      <c r="E62">
        <v>32</v>
      </c>
      <c r="F62">
        <v>29</v>
      </c>
      <c r="G62">
        <v>28</v>
      </c>
      <c r="H62">
        <v>28</v>
      </c>
      <c r="I62">
        <v>24</v>
      </c>
      <c r="J62">
        <v>20</v>
      </c>
      <c r="K62">
        <v>12</v>
      </c>
      <c r="L62">
        <v>8</v>
      </c>
      <c r="M62" s="154">
        <v>8</v>
      </c>
      <c r="N62" s="153">
        <v>48</v>
      </c>
      <c r="O62" s="153">
        <v>48</v>
      </c>
      <c r="P62" s="153">
        <v>56</v>
      </c>
      <c r="Q62" s="153">
        <v>56</v>
      </c>
      <c r="R62" s="153">
        <v>56</v>
      </c>
      <c r="S62" s="153">
        <v>56</v>
      </c>
      <c r="T62" s="153">
        <v>56</v>
      </c>
      <c r="U62" s="153">
        <v>48</v>
      </c>
      <c r="V62" s="153">
        <v>40</v>
      </c>
      <c r="W62" s="153">
        <v>24</v>
      </c>
      <c r="X62" s="153">
        <v>16</v>
      </c>
      <c r="Y62" s="153">
        <v>16</v>
      </c>
      <c r="Z62" s="153">
        <v>72</v>
      </c>
      <c r="AA62" s="153">
        <v>72</v>
      </c>
      <c r="AB62" s="153">
        <v>84</v>
      </c>
      <c r="AC62" s="153">
        <v>84</v>
      </c>
      <c r="AD62" s="153">
        <v>84</v>
      </c>
      <c r="AE62" s="153">
        <v>84</v>
      </c>
      <c r="AF62" s="153">
        <v>84</v>
      </c>
      <c r="AG62" s="153">
        <v>72</v>
      </c>
      <c r="AH62" s="153">
        <v>60</v>
      </c>
      <c r="AI62" s="153">
        <v>36</v>
      </c>
      <c r="AJ62" s="153">
        <v>24</v>
      </c>
      <c r="AK62" s="153">
        <v>24</v>
      </c>
      <c r="AL62" s="153">
        <v>48</v>
      </c>
      <c r="AM62" s="153">
        <v>80</v>
      </c>
      <c r="AN62" s="153">
        <v>92</v>
      </c>
      <c r="AO62" s="153">
        <v>93</v>
      </c>
      <c r="AP62" s="153">
        <v>100</v>
      </c>
      <c r="AQ62" s="153">
        <v>100</v>
      </c>
      <c r="AR62" s="153">
        <v>100</v>
      </c>
      <c r="AS62" s="153">
        <v>84</v>
      </c>
      <c r="AT62" s="153">
        <v>75</v>
      </c>
      <c r="AU62" s="153">
        <v>44</v>
      </c>
      <c r="AV62" s="153">
        <v>30</v>
      </c>
      <c r="AW62" s="153">
        <v>30</v>
      </c>
      <c r="AX62" s="153">
        <v>40</v>
      </c>
      <c r="AY62">
        <v>44</v>
      </c>
      <c r="AZ62">
        <v>64</v>
      </c>
      <c r="BA62">
        <v>84</v>
      </c>
      <c r="BB62">
        <v>100</v>
      </c>
      <c r="BC62">
        <v>100</v>
      </c>
      <c r="BD62">
        <v>100</v>
      </c>
      <c r="BE62">
        <v>84</v>
      </c>
      <c r="BF62">
        <v>75</v>
      </c>
      <c r="BG62">
        <v>44</v>
      </c>
      <c r="BH62">
        <v>30</v>
      </c>
      <c r="BI62" s="154">
        <v>30</v>
      </c>
    </row>
    <row r="63" spans="1:61" ht="15" customHeight="1" x14ac:dyDescent="0.35">
      <c r="A63" t="s">
        <v>70</v>
      </c>
      <c r="B63" s="153">
        <v>4</v>
      </c>
      <c r="C63">
        <v>8</v>
      </c>
      <c r="D63">
        <v>12</v>
      </c>
      <c r="E63">
        <v>20</v>
      </c>
      <c r="F63">
        <v>28</v>
      </c>
      <c r="G63">
        <v>28</v>
      </c>
      <c r="H63">
        <v>28</v>
      </c>
      <c r="I63">
        <v>24</v>
      </c>
      <c r="J63">
        <v>20</v>
      </c>
      <c r="K63">
        <v>12</v>
      </c>
      <c r="L63">
        <v>8</v>
      </c>
      <c r="M63" s="154">
        <v>8</v>
      </c>
      <c r="N63" s="153">
        <v>12</v>
      </c>
      <c r="O63" s="153">
        <v>24</v>
      </c>
      <c r="P63" s="153">
        <v>40</v>
      </c>
      <c r="Q63" s="153">
        <v>48</v>
      </c>
      <c r="R63" s="153">
        <v>56</v>
      </c>
      <c r="S63" s="153">
        <v>56</v>
      </c>
      <c r="T63" s="153">
        <v>56</v>
      </c>
      <c r="U63" s="153">
        <v>52</v>
      </c>
      <c r="V63" s="153">
        <v>40</v>
      </c>
      <c r="W63" s="153">
        <v>24</v>
      </c>
      <c r="X63" s="153">
        <v>16</v>
      </c>
      <c r="Y63" s="153">
        <v>16</v>
      </c>
      <c r="Z63" s="153">
        <v>32</v>
      </c>
      <c r="AA63" s="153">
        <v>36</v>
      </c>
      <c r="AB63" s="153">
        <v>52</v>
      </c>
      <c r="AC63" s="153">
        <v>68</v>
      </c>
      <c r="AD63" s="153">
        <v>80</v>
      </c>
      <c r="AE63" s="153">
        <v>80</v>
      </c>
      <c r="AF63" s="153">
        <v>80</v>
      </c>
      <c r="AG63" s="153">
        <v>68</v>
      </c>
      <c r="AH63" s="153">
        <v>60</v>
      </c>
      <c r="AI63" s="153">
        <v>36</v>
      </c>
      <c r="AJ63" s="153">
        <v>24</v>
      </c>
      <c r="AK63" s="153">
        <v>24</v>
      </c>
      <c r="AL63" s="153">
        <v>40</v>
      </c>
      <c r="AM63" s="153">
        <v>44</v>
      </c>
      <c r="AN63" s="153">
        <v>64</v>
      </c>
      <c r="AO63" s="153">
        <v>84</v>
      </c>
      <c r="AP63" s="153">
        <v>100</v>
      </c>
      <c r="AQ63" s="153">
        <v>100</v>
      </c>
      <c r="AR63" s="153">
        <v>100</v>
      </c>
      <c r="AS63" s="153">
        <v>84</v>
      </c>
      <c r="AT63" s="153">
        <v>75</v>
      </c>
      <c r="AU63" s="153">
        <v>44</v>
      </c>
      <c r="AV63" s="153">
        <v>30</v>
      </c>
      <c r="AW63" s="153">
        <v>30</v>
      </c>
      <c r="AX63" s="153">
        <v>40</v>
      </c>
      <c r="AY63">
        <v>44</v>
      </c>
      <c r="AZ63">
        <v>64</v>
      </c>
      <c r="BA63">
        <v>84</v>
      </c>
      <c r="BB63">
        <v>100</v>
      </c>
      <c r="BC63">
        <v>100</v>
      </c>
      <c r="BD63">
        <v>100</v>
      </c>
      <c r="BE63">
        <v>84</v>
      </c>
      <c r="BF63">
        <v>75</v>
      </c>
      <c r="BG63">
        <v>44</v>
      </c>
      <c r="BH63">
        <v>30</v>
      </c>
      <c r="BI63" s="154">
        <v>30</v>
      </c>
    </row>
    <row r="64" spans="1:61" ht="15" customHeight="1" x14ac:dyDescent="0.35">
      <c r="A64" t="s">
        <v>71</v>
      </c>
      <c r="B64" s="161">
        <f>N35+B62-B63</f>
        <v>50</v>
      </c>
      <c r="C64" s="162">
        <f>B64+C62-C63</f>
        <v>70</v>
      </c>
      <c r="D64" s="162">
        <f t="shared" ref="D64:BI64" si="18">C64+D62-D63</f>
        <v>86</v>
      </c>
      <c r="E64" s="162">
        <f t="shared" si="18"/>
        <v>98</v>
      </c>
      <c r="F64" s="162">
        <f t="shared" si="18"/>
        <v>99</v>
      </c>
      <c r="G64" s="162">
        <f t="shared" si="18"/>
        <v>99</v>
      </c>
      <c r="H64" s="162">
        <f t="shared" si="18"/>
        <v>99</v>
      </c>
      <c r="I64" s="162">
        <f t="shared" si="18"/>
        <v>99</v>
      </c>
      <c r="J64" s="162">
        <f t="shared" si="18"/>
        <v>99</v>
      </c>
      <c r="K64" s="162">
        <f t="shared" si="18"/>
        <v>99</v>
      </c>
      <c r="L64" s="162">
        <f t="shared" si="18"/>
        <v>99</v>
      </c>
      <c r="M64" s="163">
        <f t="shared" si="18"/>
        <v>99</v>
      </c>
      <c r="N64" s="163">
        <f t="shared" si="18"/>
        <v>135</v>
      </c>
      <c r="O64" s="163">
        <f t="shared" si="18"/>
        <v>159</v>
      </c>
      <c r="P64" s="163">
        <f t="shared" si="18"/>
        <v>175</v>
      </c>
      <c r="Q64" s="163">
        <f t="shared" si="18"/>
        <v>183</v>
      </c>
      <c r="R64" s="163">
        <f t="shared" si="18"/>
        <v>183</v>
      </c>
      <c r="S64" s="163">
        <f t="shared" si="18"/>
        <v>183</v>
      </c>
      <c r="T64" s="163">
        <f t="shared" si="18"/>
        <v>183</v>
      </c>
      <c r="U64" s="163">
        <f t="shared" si="18"/>
        <v>179</v>
      </c>
      <c r="V64" s="163">
        <f t="shared" si="18"/>
        <v>179</v>
      </c>
      <c r="W64" s="163">
        <f t="shared" si="18"/>
        <v>179</v>
      </c>
      <c r="X64" s="163">
        <f t="shared" si="18"/>
        <v>179</v>
      </c>
      <c r="Y64" s="163">
        <f t="shared" si="18"/>
        <v>179</v>
      </c>
      <c r="Z64" s="163">
        <f t="shared" si="18"/>
        <v>219</v>
      </c>
      <c r="AA64" s="163">
        <f t="shared" si="18"/>
        <v>255</v>
      </c>
      <c r="AB64" s="163">
        <f t="shared" si="18"/>
        <v>287</v>
      </c>
      <c r="AC64" s="163">
        <f t="shared" si="18"/>
        <v>303</v>
      </c>
      <c r="AD64" s="163">
        <f t="shared" si="18"/>
        <v>307</v>
      </c>
      <c r="AE64" s="163">
        <f t="shared" si="18"/>
        <v>311</v>
      </c>
      <c r="AF64" s="163">
        <f t="shared" si="18"/>
        <v>315</v>
      </c>
      <c r="AG64" s="163">
        <f t="shared" si="18"/>
        <v>319</v>
      </c>
      <c r="AH64" s="163">
        <f t="shared" si="18"/>
        <v>319</v>
      </c>
      <c r="AI64" s="163">
        <f t="shared" si="18"/>
        <v>319</v>
      </c>
      <c r="AJ64" s="163">
        <f t="shared" si="18"/>
        <v>319</v>
      </c>
      <c r="AK64" s="163">
        <f t="shared" si="18"/>
        <v>319</v>
      </c>
      <c r="AL64" s="163">
        <f t="shared" si="18"/>
        <v>327</v>
      </c>
      <c r="AM64" s="163">
        <f t="shared" si="18"/>
        <v>363</v>
      </c>
      <c r="AN64" s="163">
        <f t="shared" si="18"/>
        <v>391</v>
      </c>
      <c r="AO64" s="163">
        <f t="shared" si="18"/>
        <v>400</v>
      </c>
      <c r="AP64" s="163">
        <f t="shared" si="18"/>
        <v>400</v>
      </c>
      <c r="AQ64" s="163">
        <f t="shared" si="18"/>
        <v>400</v>
      </c>
      <c r="AR64" s="163">
        <f t="shared" si="18"/>
        <v>400</v>
      </c>
      <c r="AS64" s="163">
        <f t="shared" si="18"/>
        <v>400</v>
      </c>
      <c r="AT64" s="163">
        <f t="shared" si="18"/>
        <v>400</v>
      </c>
      <c r="AU64" s="163">
        <f t="shared" si="18"/>
        <v>400</v>
      </c>
      <c r="AV64" s="163">
        <f t="shared" si="18"/>
        <v>400</v>
      </c>
      <c r="AW64" s="163">
        <f t="shared" si="18"/>
        <v>400</v>
      </c>
      <c r="AX64" s="163">
        <f t="shared" si="18"/>
        <v>400</v>
      </c>
      <c r="AY64" s="163">
        <f t="shared" si="18"/>
        <v>400</v>
      </c>
      <c r="AZ64" s="163">
        <f t="shared" si="18"/>
        <v>400</v>
      </c>
      <c r="BA64" s="163">
        <f t="shared" si="18"/>
        <v>400</v>
      </c>
      <c r="BB64" s="163">
        <f t="shared" si="18"/>
        <v>400</v>
      </c>
      <c r="BC64" s="163">
        <f t="shared" si="18"/>
        <v>400</v>
      </c>
      <c r="BD64" s="163">
        <f t="shared" si="18"/>
        <v>400</v>
      </c>
      <c r="BE64" s="163">
        <f t="shared" si="18"/>
        <v>400</v>
      </c>
      <c r="BF64" s="163">
        <f t="shared" si="18"/>
        <v>400</v>
      </c>
      <c r="BG64" s="163">
        <f t="shared" si="18"/>
        <v>400</v>
      </c>
      <c r="BH64" s="163">
        <f t="shared" si="18"/>
        <v>400</v>
      </c>
      <c r="BI64" s="163">
        <f t="shared" si="18"/>
        <v>400</v>
      </c>
    </row>
    <row r="65" spans="1:61" x14ac:dyDescent="0.35">
      <c r="L65" s="164" t="s">
        <v>422</v>
      </c>
      <c r="M65">
        <f>SUM(B62:M62)</f>
        <v>269</v>
      </c>
      <c r="X65" s="164" t="s">
        <v>422</v>
      </c>
      <c r="Y65">
        <f>SUM(N62:Y62)</f>
        <v>520</v>
      </c>
      <c r="AJ65" s="164" t="s">
        <v>422</v>
      </c>
      <c r="AK65">
        <f>SUM(Z62:AK62)</f>
        <v>780</v>
      </c>
      <c r="AV65" s="164" t="s">
        <v>422</v>
      </c>
      <c r="AW65">
        <f>SUM(AL62:AW62)</f>
        <v>876</v>
      </c>
      <c r="BH65" s="164" t="s">
        <v>422</v>
      </c>
      <c r="BI65">
        <f>SUM(AX62:BI62)</f>
        <v>795</v>
      </c>
    </row>
    <row r="66" spans="1:61" x14ac:dyDescent="0.35">
      <c r="L66" s="164" t="s">
        <v>421</v>
      </c>
      <c r="M66">
        <f>SUM(B63:M63)</f>
        <v>200</v>
      </c>
      <c r="X66" s="164" t="s">
        <v>421</v>
      </c>
      <c r="Y66">
        <f>SUM(N63:Y63)</f>
        <v>440</v>
      </c>
      <c r="AJ66" s="164" t="s">
        <v>421</v>
      </c>
      <c r="AK66">
        <f>SUM(Z63:AK63)</f>
        <v>640</v>
      </c>
      <c r="AV66" s="164" t="s">
        <v>421</v>
      </c>
      <c r="AW66">
        <f>SUM(AL63:AW63)</f>
        <v>795</v>
      </c>
      <c r="BH66" s="164" t="s">
        <v>421</v>
      </c>
      <c r="BI66">
        <f>SUM(AX63:BI63)</f>
        <v>795</v>
      </c>
    </row>
    <row r="67" spans="1:61" ht="15" customHeight="1" x14ac:dyDescent="0.35">
      <c r="A67" s="33" t="s">
        <v>74</v>
      </c>
      <c r="L67" t="s">
        <v>452</v>
      </c>
      <c r="M67" s="36">
        <f>SUM(B42:M42)</f>
        <v>497333.30000000005</v>
      </c>
      <c r="X67" t="s">
        <v>452</v>
      </c>
      <c r="Y67" s="36">
        <f>SUM(N42:Y42)</f>
        <v>1094133.2600000002</v>
      </c>
      <c r="AJ67" t="s">
        <v>452</v>
      </c>
      <c r="AK67" s="36">
        <f>SUM(Z42:AK42)</f>
        <v>1591466.56</v>
      </c>
      <c r="AV67" t="s">
        <v>452</v>
      </c>
      <c r="AW67" s="36">
        <f>SUM(AL42:AW42)</f>
        <v>1976899.8675000006</v>
      </c>
      <c r="BH67" t="s">
        <v>452</v>
      </c>
      <c r="BI67" s="36">
        <f>SUM(AX42:BI42)</f>
        <v>2075744.8608750005</v>
      </c>
    </row>
    <row r="69" spans="1:61" ht="15" customHeight="1" x14ac:dyDescent="0.35">
      <c r="A69" s="30" t="s">
        <v>75</v>
      </c>
    </row>
    <row r="70" spans="1:61" ht="15" customHeight="1" x14ac:dyDescent="0.35">
      <c r="A70" t="s">
        <v>76</v>
      </c>
    </row>
    <row r="71" spans="1:61" ht="15" customHeight="1" x14ac:dyDescent="0.35">
      <c r="A71" t="s">
        <v>77</v>
      </c>
    </row>
    <row r="72" spans="1:61" ht="15" customHeight="1" x14ac:dyDescent="0.35">
      <c r="A72" t="s">
        <v>78</v>
      </c>
    </row>
    <row r="73" spans="1:61" ht="15" customHeight="1" x14ac:dyDescent="0.35"/>
    <row r="74" spans="1:61" ht="15" customHeight="1" x14ac:dyDescent="0.35"/>
    <row r="75" spans="1:61" ht="15" customHeight="1" x14ac:dyDescent="0.35">
      <c r="A75" t="s">
        <v>79</v>
      </c>
    </row>
    <row r="77" spans="1:61" ht="15" customHeight="1" x14ac:dyDescent="0.35">
      <c r="A77" s="146" t="s">
        <v>412</v>
      </c>
      <c r="B77" s="147">
        <f>MIN(E30:N30,B59:M59)</f>
        <v>84577.609589733329</v>
      </c>
    </row>
    <row r="78" spans="1:61" ht="15" customHeight="1" x14ac:dyDescent="0.35">
      <c r="A78" t="s">
        <v>413</v>
      </c>
      <c r="B78" s="147">
        <f>N30</f>
        <v>153977.35165559998</v>
      </c>
    </row>
    <row r="79" spans="1:61" ht="15" customHeight="1" x14ac:dyDescent="0.35">
      <c r="A79" t="s">
        <v>414</v>
      </c>
      <c r="B79" s="147">
        <f>M59</f>
        <v>125039.09562060001</v>
      </c>
    </row>
    <row r="81" spans="1:4" ht="15" customHeight="1" x14ac:dyDescent="0.35">
      <c r="A81" s="32"/>
    </row>
    <row r="84" spans="1:4" ht="15" customHeight="1" x14ac:dyDescent="0.35">
      <c r="A84" s="33" t="s">
        <v>80</v>
      </c>
    </row>
    <row r="86" spans="1:4" ht="15" customHeight="1" x14ac:dyDescent="0.35">
      <c r="A86" s="40" t="s">
        <v>81</v>
      </c>
      <c r="B86" s="40" t="s">
        <v>82</v>
      </c>
      <c r="C86" s="40" t="s">
        <v>23</v>
      </c>
      <c r="D86" s="40" t="s">
        <v>83</v>
      </c>
    </row>
    <row r="87" spans="1:4" ht="15" customHeight="1" x14ac:dyDescent="0.35">
      <c r="A87" t="s">
        <v>84</v>
      </c>
      <c r="B87" t="s">
        <v>6</v>
      </c>
      <c r="C87" s="41">
        <v>100000</v>
      </c>
      <c r="D87" t="s">
        <v>85</v>
      </c>
    </row>
    <row r="88" spans="1:4" ht="15" customHeight="1" x14ac:dyDescent="0.35">
      <c r="A88" t="s">
        <v>86</v>
      </c>
      <c r="B88" t="s">
        <v>53</v>
      </c>
      <c r="C88" s="41">
        <v>89000</v>
      </c>
      <c r="D88" t="s">
        <v>87</v>
      </c>
    </row>
    <row r="89" spans="1:4" ht="15" customHeight="1" x14ac:dyDescent="0.35">
      <c r="A89" t="s">
        <v>88</v>
      </c>
      <c r="B89" t="s">
        <v>89</v>
      </c>
      <c r="C89" s="41">
        <v>189000</v>
      </c>
      <c r="D89" t="s">
        <v>90</v>
      </c>
    </row>
    <row r="90" spans="1:4" ht="15" customHeight="1" x14ac:dyDescent="0.35">
      <c r="C90" s="41"/>
    </row>
    <row r="91" spans="1:4" ht="15" customHeight="1" x14ac:dyDescent="0.35">
      <c r="A91" t="s">
        <v>91</v>
      </c>
      <c r="B91" t="s">
        <v>73</v>
      </c>
      <c r="C91" s="41">
        <v>50000</v>
      </c>
      <c r="D91" t="s">
        <v>92</v>
      </c>
    </row>
    <row r="92" spans="1:4" ht="15" customHeight="1" x14ac:dyDescent="0.35"/>
    <row r="94" spans="1:4" ht="15" customHeight="1" x14ac:dyDescent="0.35">
      <c r="A94" s="30"/>
    </row>
    <row r="95" spans="1:4" ht="15" customHeight="1" x14ac:dyDescent="0.35"/>
    <row r="96" spans="1:4" ht="15" customHeight="1" x14ac:dyDescent="0.35">
      <c r="A96" t="s">
        <v>423</v>
      </c>
    </row>
    <row r="97" spans="1:1" ht="15" customHeight="1" x14ac:dyDescent="0.35"/>
    <row r="99" spans="1:1" ht="15" customHeight="1" x14ac:dyDescent="0.35">
      <c r="A99" s="32"/>
    </row>
    <row r="100" spans="1:1" ht="15" customHeight="1" x14ac:dyDescent="0.35">
      <c r="A100" s="32"/>
    </row>
    <row r="101" spans="1:1" ht="14.25" customHeight="1" x14ac:dyDescent="0.35"/>
    <row r="102" spans="1:1" ht="14.25" customHeight="1" x14ac:dyDescent="0.35"/>
    <row r="103" spans="1:1" ht="14.25" customHeight="1" x14ac:dyDescent="0.35"/>
    <row r="104" spans="1:1" ht="14.25" customHeight="1" x14ac:dyDescent="0.35"/>
    <row r="106" spans="1:1" ht="14.25" customHeight="1" x14ac:dyDescent="0.35">
      <c r="A106" t="s">
        <v>93</v>
      </c>
    </row>
    <row r="107" spans="1:1" ht="14.25" customHeight="1" x14ac:dyDescent="0.35">
      <c r="A107" t="s">
        <v>94</v>
      </c>
    </row>
    <row r="108" spans="1:1" ht="14.25" customHeight="1" x14ac:dyDescent="0.35">
      <c r="A108" t="s">
        <v>95</v>
      </c>
    </row>
    <row r="109" spans="1:1" ht="14.25" customHeight="1" x14ac:dyDescent="0.35">
      <c r="A109" t="s">
        <v>96</v>
      </c>
    </row>
    <row r="110" spans="1:1" ht="14.25" customHeight="1" x14ac:dyDescent="0.35">
      <c r="A110" t="s">
        <v>97</v>
      </c>
    </row>
  </sheetData>
  <mergeCells count="5">
    <mergeCell ref="B38:M38"/>
    <mergeCell ref="N38:Y38"/>
    <mergeCell ref="Z38:AK38"/>
    <mergeCell ref="AL38:AW38"/>
    <mergeCell ref="AX38:BI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Dashboard</vt:lpstr>
      <vt:lpstr>Frais de lancement</vt:lpstr>
      <vt:lpstr>Charges Fixes Plume</vt:lpstr>
      <vt:lpstr>Emprunt Bancaire</vt:lpstr>
      <vt:lpstr>Charges Variables</vt:lpstr>
      <vt:lpstr>Marges Produits</vt:lpstr>
      <vt:lpstr>Financement</vt:lpstr>
      <vt:lpstr>Scénarios</vt:lpstr>
      <vt:lpstr>Plan Trésorerie Mensuel</vt:lpstr>
      <vt:lpstr>Compte de Résultat</vt:lpstr>
      <vt:lpstr>Bilan Prévisionnel</vt:lpstr>
      <vt:lpstr>Seuil Rentabilité</vt:lpstr>
      <vt:lpstr>Analyse Point Mort</vt:lpstr>
      <vt:lpstr>scénario-20%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Jean-Baptiste Chandelier</cp:lastModifiedBy>
  <cp:revision>2</cp:revision>
  <dcterms:created xsi:type="dcterms:W3CDTF">2025-11-30T05:44:39Z</dcterms:created>
  <dcterms:modified xsi:type="dcterms:W3CDTF">2026-01-29T16:26:01Z</dcterms:modified>
  <dc:language>en-US</dc:language>
</cp:coreProperties>
</file>